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wanamihakuto\Desktop\GitHub\2026_winter\winterGame2026\"/>
    </mc:Choice>
  </mc:AlternateContent>
  <xr:revisionPtr revIDLastSave="0" documentId="13_ncr:1_{F636D223-D35C-48D6-A0F5-7B3DB4783337}" xr6:coauthVersionLast="47" xr6:coauthVersionMax="47" xr10:uidLastSave="{00000000-0000-0000-0000-000000000000}"/>
  <bookViews>
    <workbookView xWindow="5130" yWindow="3180" windowWidth="21600" windowHeight="11295" xr2:uid="{FBF17539-65CE-42B3-B6F8-B994C8DD201F}"/>
  </bookViews>
  <sheets>
    <sheet name="コスト表" sheetId="1" r:id="rId1"/>
    <sheet name="スケジュール" sheetId="2" r:id="rId2"/>
    <sheet name="問題・要望" sheetId="3" r:id="rId3"/>
    <sheet name="メモ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9" i="2" l="1"/>
  <c r="B20" i="2"/>
  <c r="B11" i="2"/>
  <c r="B2" i="2"/>
  <c r="K24" i="2"/>
  <c r="K13" i="2"/>
  <c r="K12" i="2"/>
  <c r="K14" i="2" s="1"/>
  <c r="N8" i="2"/>
  <c r="O8" i="2" s="1"/>
  <c r="M8" i="2"/>
  <c r="N7" i="2"/>
  <c r="O7" i="2" s="1"/>
  <c r="M7" i="2"/>
  <c r="N6" i="2"/>
  <c r="O6" i="2" s="1"/>
  <c r="M6" i="2"/>
  <c r="N5" i="2"/>
  <c r="O5" i="2" s="1"/>
  <c r="M5" i="2"/>
  <c r="N4" i="2"/>
  <c r="O4" i="2" s="1"/>
  <c r="M4" i="2"/>
  <c r="N33" i="1"/>
  <c r="M33" i="1"/>
  <c r="N32" i="1"/>
  <c r="M32" i="1"/>
  <c r="N31" i="1"/>
  <c r="M31" i="1"/>
  <c r="N30" i="1"/>
  <c r="M30" i="1"/>
  <c r="N27" i="1"/>
  <c r="M27" i="1"/>
  <c r="N26" i="1"/>
  <c r="M26" i="1"/>
  <c r="N25" i="1"/>
  <c r="M25" i="1"/>
  <c r="N24" i="1"/>
  <c r="M24" i="1"/>
  <c r="N23" i="1"/>
  <c r="M23" i="1"/>
  <c r="N22" i="1"/>
  <c r="M22" i="1"/>
  <c r="N21" i="1"/>
  <c r="M21" i="1"/>
  <c r="N20" i="1"/>
  <c r="M20" i="1"/>
  <c r="N19" i="1"/>
  <c r="M19" i="1"/>
  <c r="N18" i="1"/>
  <c r="M18" i="1"/>
  <c r="N17" i="1"/>
  <c r="M17" i="1"/>
  <c r="N16" i="1"/>
  <c r="M16" i="1"/>
  <c r="N15" i="1"/>
  <c r="M15" i="1"/>
  <c r="N14" i="1"/>
  <c r="M14" i="1"/>
  <c r="N13" i="1"/>
  <c r="M13" i="1"/>
  <c r="N10" i="1"/>
  <c r="M10" i="1"/>
  <c r="N9" i="1"/>
  <c r="M9" i="1"/>
  <c r="N8" i="1"/>
  <c r="M8" i="1"/>
  <c r="N7" i="1"/>
  <c r="M7" i="1"/>
  <c r="N6" i="1"/>
  <c r="K17" i="2" s="1"/>
  <c r="M6" i="1"/>
  <c r="H36" i="2" l="1"/>
  <c r="C34" i="2"/>
  <c r="B34" i="2"/>
  <c r="H33" i="2"/>
  <c r="G33" i="2"/>
  <c r="F33" i="2"/>
  <c r="C27" i="2"/>
  <c r="H27" i="2"/>
  <c r="G27" i="2"/>
  <c r="F27" i="2"/>
  <c r="E27" i="2"/>
  <c r="D27" i="2"/>
  <c r="C26" i="2"/>
  <c r="E24" i="2"/>
  <c r="B24" i="2"/>
  <c r="G22" i="2"/>
  <c r="E22" i="2"/>
  <c r="D22" i="2"/>
  <c r="B26" i="2"/>
  <c r="H25" i="2"/>
  <c r="G25" i="2"/>
  <c r="F25" i="2"/>
  <c r="C25" i="2"/>
  <c r="B25" i="2"/>
  <c r="H24" i="2"/>
  <c r="F24" i="2"/>
  <c r="D24" i="2"/>
  <c r="C24" i="2"/>
  <c r="H23" i="2"/>
  <c r="F22" i="2"/>
  <c r="G24" i="2"/>
  <c r="C22" i="2"/>
  <c r="E17" i="2"/>
  <c r="G18" i="2"/>
  <c r="E18" i="2"/>
  <c r="C18" i="2"/>
  <c r="B18" i="2"/>
  <c r="G17" i="2"/>
  <c r="C16" i="2"/>
  <c r="B16" i="2"/>
  <c r="D15" i="2"/>
  <c r="C15" i="2"/>
  <c r="H14" i="2"/>
  <c r="F14" i="2"/>
  <c r="C14" i="2"/>
  <c r="H17" i="2"/>
  <c r="F18" i="2"/>
  <c r="D18" i="2"/>
  <c r="F17" i="2"/>
  <c r="H15" i="2"/>
  <c r="B15" i="2"/>
  <c r="G14" i="2"/>
  <c r="E14" i="2"/>
  <c r="D14" i="2"/>
  <c r="G7" i="2"/>
  <c r="F8" i="2"/>
  <c r="E8" i="2"/>
  <c r="D8" i="2"/>
  <c r="C8" i="2"/>
  <c r="B8" i="2"/>
  <c r="H7" i="2"/>
  <c r="C5" i="2"/>
  <c r="B5" i="2"/>
  <c r="H4" i="2"/>
  <c r="G4" i="2"/>
  <c r="F4" i="2"/>
  <c r="E4" i="2"/>
  <c r="B7" i="2"/>
  <c r="H6" i="2"/>
  <c r="G6" i="2"/>
  <c r="F6" i="2"/>
  <c r="E6" i="2"/>
  <c r="D6" i="2"/>
  <c r="C6" i="2"/>
  <c r="B6" i="2"/>
  <c r="H9" i="2"/>
  <c r="G5" i="2"/>
  <c r="F5" i="2"/>
  <c r="E5" i="2"/>
  <c r="C7" i="2"/>
  <c r="G9" i="2"/>
  <c r="F9" i="2"/>
  <c r="H5" i="2"/>
  <c r="E9" i="2"/>
  <c r="D9" i="2"/>
  <c r="C9" i="2"/>
  <c r="B9" i="2"/>
  <c r="H8" i="2"/>
  <c r="G8" i="2"/>
  <c r="D5" i="2"/>
  <c r="K20" i="2"/>
  <c r="P22" i="1"/>
  <c r="P21" i="1"/>
  <c r="P17" i="1"/>
  <c r="P16" i="1"/>
  <c r="O27" i="1"/>
  <c r="O26" i="1"/>
  <c r="O6" i="1"/>
  <c r="P25" i="1"/>
  <c r="O14" i="1"/>
  <c r="P10" i="1"/>
  <c r="O20" i="1"/>
  <c r="P24" i="1"/>
  <c r="O23" i="1"/>
  <c r="P13" i="1"/>
  <c r="P8" i="1"/>
  <c r="P7" i="1"/>
  <c r="P15" i="1"/>
  <c r="O9" i="1"/>
  <c r="P19" i="1"/>
  <c r="O18" i="1"/>
  <c r="P5" i="2"/>
  <c r="Q5" i="2" s="1"/>
  <c r="P4" i="2"/>
  <c r="Q4" i="2" s="1"/>
  <c r="P7" i="2"/>
  <c r="Q7" i="2" s="1"/>
  <c r="P6" i="2"/>
  <c r="Q6" i="2" s="1"/>
  <c r="P8" i="2"/>
  <c r="Q8" i="2" s="1"/>
  <c r="O15" i="1"/>
  <c r="B31" i="2"/>
  <c r="F34" i="2"/>
  <c r="G34" i="2"/>
  <c r="E15" i="2"/>
  <c r="H18" i="2"/>
  <c r="E31" i="2"/>
  <c r="H34" i="2"/>
  <c r="O8" i="1"/>
  <c r="O16" i="1"/>
  <c r="O22" i="1"/>
  <c r="F15" i="2"/>
  <c r="D25" i="2"/>
  <c r="F31" i="2"/>
  <c r="B35" i="2"/>
  <c r="G15" i="2"/>
  <c r="B22" i="2"/>
  <c r="E25" i="2"/>
  <c r="G31" i="2"/>
  <c r="C35" i="2"/>
  <c r="P14" i="1"/>
  <c r="O7" i="1"/>
  <c r="P27" i="1"/>
  <c r="H31" i="2"/>
  <c r="D35" i="2"/>
  <c r="B32" i="2"/>
  <c r="O17" i="1"/>
  <c r="F35" i="2"/>
  <c r="P9" i="1"/>
  <c r="P23" i="1"/>
  <c r="K16" i="2"/>
  <c r="D16" i="2"/>
  <c r="D32" i="2"/>
  <c r="E32" i="2"/>
  <c r="F16" i="2"/>
  <c r="D26" i="2"/>
  <c r="F32" i="2"/>
  <c r="O10" i="1"/>
  <c r="O24" i="1"/>
  <c r="D13" i="2"/>
  <c r="E26" i="2"/>
  <c r="C36" i="2"/>
  <c r="P18" i="1"/>
  <c r="E13" i="2"/>
  <c r="C23" i="2"/>
  <c r="D36" i="2"/>
  <c r="D7" i="2"/>
  <c r="F13" i="2"/>
  <c r="B17" i="2"/>
  <c r="D23" i="2"/>
  <c r="G26" i="2"/>
  <c r="B33" i="2"/>
  <c r="E36" i="2"/>
  <c r="P6" i="1"/>
  <c r="P20" i="1"/>
  <c r="P26" i="1"/>
  <c r="C32" i="2"/>
  <c r="D34" i="2"/>
  <c r="O21" i="1"/>
  <c r="E34" i="2"/>
  <c r="E35" i="2"/>
  <c r="C13" i="2"/>
  <c r="H22" i="2"/>
  <c r="B36" i="2"/>
  <c r="G16" i="2"/>
  <c r="H16" i="2"/>
  <c r="F26" i="2"/>
  <c r="E7" i="2"/>
  <c r="C17" i="2"/>
  <c r="H26" i="2"/>
  <c r="F36" i="2"/>
  <c r="O13" i="1"/>
  <c r="O19" i="1"/>
  <c r="O25" i="1"/>
  <c r="C4" i="2"/>
  <c r="F7" i="2"/>
  <c r="H13" i="2"/>
  <c r="D17" i="2"/>
  <c r="F23" i="2"/>
  <c r="B27" i="2"/>
  <c r="D33" i="2"/>
  <c r="G36" i="2"/>
  <c r="C31" i="2"/>
  <c r="D31" i="2"/>
  <c r="G35" i="2"/>
  <c r="B13" i="2"/>
  <c r="E16" i="2"/>
  <c r="H35" i="2"/>
  <c r="B23" i="2"/>
  <c r="G32" i="2"/>
  <c r="H32" i="2"/>
  <c r="B4" i="2"/>
  <c r="G13" i="2"/>
  <c r="E23" i="2"/>
  <c r="C33" i="2"/>
  <c r="D4" i="2"/>
  <c r="B14" i="2"/>
  <c r="G23" i="2"/>
  <c r="E33" i="2"/>
  <c r="K15" i="2"/>
  <c r="K19" i="2" l="1"/>
  <c r="K18" i="2"/>
  <c r="K21" i="2" s="1"/>
  <c r="K25" i="2" s="1"/>
</calcChain>
</file>

<file path=xl/sharedStrings.xml><?xml version="1.0" encoding="utf-8"?>
<sst xmlns="http://schemas.openxmlformats.org/spreadsheetml/2006/main" count="862" uniqueCount="218">
  <si>
    <t>担当者</t>
  </si>
  <si>
    <t>概要</t>
  </si>
  <si>
    <t>詳細</t>
  </si>
  <si>
    <t>優先度</t>
  </si>
  <si>
    <t>バージョン</t>
  </si>
  <si>
    <t>作業工数</t>
  </si>
  <si>
    <t>実コスト</t>
  </si>
  <si>
    <t>ステータス</t>
  </si>
  <si>
    <t>備考</t>
  </si>
  <si>
    <t>川浪</t>
  </si>
  <si>
    <t>基盤</t>
  </si>
  <si>
    <t>数学ライブラリ（Vector/Matrix/Quaternion/Transform）</t>
  </si>
  <si>
    <t>S</t>
  </si>
  <si>
    <t>プロト</t>
  </si>
  <si>
    <t>完了</t>
  </si>
  <si>
    <t>実装済み（コードで確認）</t>
  </si>
  <si>
    <t>ゲームオブジェクト管理</t>
  </si>
  <si>
    <t>リソースマネージャー</t>
  </si>
  <si>
    <t>アニメーションコントローラー</t>
  </si>
  <si>
    <t>シーンマネージャー</t>
  </si>
  <si>
    <t>ボードより／実装済み</t>
  </si>
  <si>
    <t>フェードイン・フェードアウト</t>
  </si>
  <si>
    <t>A</t>
  </si>
  <si>
    <t>デバッグ表示（グリッド・各種数値）</t>
  </si>
  <si>
    <t>B</t>
  </si>
  <si>
    <t>画面上でフレームの調整ができる簡易エディタ</t>
  </si>
  <si>
    <t>未着手</t>
  </si>
  <si>
    <t>ボードより</t>
  </si>
  <si>
    <t>入力</t>
  </si>
  <si>
    <t>入力マネージャー（キーボード・パッド）</t>
  </si>
  <si>
    <t>スティックの8方向変換</t>
  </si>
  <si>
    <t>スティック入力解析（一瞬倒し・2回倒し）</t>
  </si>
  <si>
    <t>入力履歴のデバッグ表示</t>
  </si>
  <si>
    <t>コントローラー分割（1P/2P）</t>
  </si>
  <si>
    <t>作業中</t>
  </si>
  <si>
    <t>入力の保存</t>
  </si>
  <si>
    <t>先行入力</t>
  </si>
  <si>
    <t>コマンド入力判定（236など）</t>
  </si>
  <si>
    <t>アルファ</t>
  </si>
  <si>
    <t>追加提案</t>
  </si>
  <si>
    <t>プレイヤー</t>
  </si>
  <si>
    <t>ステートマシン基盤（PlayerStateBase）</t>
  </si>
  <si>
    <t>立ち</t>
  </si>
  <si>
    <t>しゃがみ</t>
  </si>
  <si>
    <t>前後ろ歩き</t>
  </si>
  <si>
    <t>前後ろステップ</t>
  </si>
  <si>
    <t>奥行ステップ</t>
  </si>
  <si>
    <t>プレイヤー同士向き合う</t>
  </si>
  <si>
    <t>前後（左右）の判定</t>
  </si>
  <si>
    <t>強化状態</t>
  </si>
  <si>
    <t>攻撃</t>
  </si>
  <si>
    <t>攻撃データ管理（発生・持続・硬直）</t>
  </si>
  <si>
    <t>弱P</t>
  </si>
  <si>
    <t>弱K</t>
  </si>
  <si>
    <t>強P</t>
  </si>
  <si>
    <t>強K</t>
  </si>
  <si>
    <t>しゃがみ弱P</t>
  </si>
  <si>
    <t>しゃがみ弱K</t>
  </si>
  <si>
    <t>しゃがみ強P</t>
  </si>
  <si>
    <t>しゃがみ強K</t>
  </si>
  <si>
    <t>前投げ</t>
  </si>
  <si>
    <t>後ろ投げ</t>
  </si>
  <si>
    <t>コンボ1</t>
  </si>
  <si>
    <t>コンボ2</t>
  </si>
  <si>
    <t>コンボ3</t>
  </si>
  <si>
    <t>必殺技</t>
  </si>
  <si>
    <t>超必殺技</t>
  </si>
  <si>
    <t>防御・被弾</t>
  </si>
  <si>
    <t>立ちガード</t>
  </si>
  <si>
    <t>しゃがみガード</t>
  </si>
  <si>
    <t>のけぞり（ヒット硬直）</t>
  </si>
  <si>
    <t>ガード硬直</t>
  </si>
  <si>
    <t>ヒットストップ</t>
  </si>
  <si>
    <t>ノックバック</t>
  </si>
  <si>
    <t>ダウン・起き上がり</t>
  </si>
  <si>
    <t>投げ抜け</t>
  </si>
  <si>
    <t>当たり判定</t>
  </si>
  <si>
    <t>当たり判定マネージャー</t>
  </si>
  <si>
    <t>球と球の当たり判定</t>
  </si>
  <si>
    <t>球とカプセルの当たり判定</t>
  </si>
  <si>
    <t>カプセルとカプセルの当たり判定</t>
  </si>
  <si>
    <t>攻撃を受ける当たり判定</t>
  </si>
  <si>
    <t>攻撃をする当たり判定</t>
  </si>
  <si>
    <t>押し合いの当たり判定</t>
  </si>
  <si>
    <t>投げ成立の当たり判定</t>
  </si>
  <si>
    <t>当たり判定のデバッグ表示</t>
  </si>
  <si>
    <t>バトル</t>
  </si>
  <si>
    <t>体力・ダメージ計算</t>
  </si>
  <si>
    <t>ラウンド管理（開始・KO・勝敗）</t>
  </si>
  <si>
    <t>制限時間</t>
  </si>
  <si>
    <t>超必殺技ゲージ</t>
  </si>
  <si>
    <t>ステージの移動範囲制限</t>
  </si>
  <si>
    <t>カメラ</t>
  </si>
  <si>
    <t>バトル中カメラ（2人を画面に収める追従）</t>
  </si>
  <si>
    <t>回転</t>
  </si>
  <si>
    <t>ズームイン</t>
  </si>
  <si>
    <t>ズームアウト</t>
  </si>
  <si>
    <t>カメラの切り替え</t>
  </si>
  <si>
    <t>試合開始時カメラ（バトル中カメラにつながるように）</t>
  </si>
  <si>
    <t>超必殺技カメラ</t>
  </si>
  <si>
    <t>勝利演出カメラ</t>
  </si>
  <si>
    <t>シーン</t>
  </si>
  <si>
    <t>ゲームシーン（バトル）</t>
  </si>
  <si>
    <t>タイトル</t>
  </si>
  <si>
    <t>モード選択</t>
  </si>
  <si>
    <t>リザルト（勝敗表示）</t>
  </si>
  <si>
    <t>ポーズ</t>
  </si>
  <si>
    <t>ベータ</t>
  </si>
  <si>
    <t>UI</t>
  </si>
  <si>
    <t>体力ゲージ</t>
  </si>
  <si>
    <t>超必殺技ゲージ表示</t>
  </si>
  <si>
    <t>制限時間表示</t>
  </si>
  <si>
    <t>ラウンド・KO表示</t>
  </si>
  <si>
    <t>コンボ数表示</t>
  </si>
  <si>
    <t>操作説明</t>
  </si>
  <si>
    <t>CPU</t>
  </si>
  <si>
    <t>CPUの基本行動（移動・ガード）</t>
  </si>
  <si>
    <t>ボード（CPUグループ）より</t>
  </si>
  <si>
    <t>CPUの攻撃判断</t>
  </si>
  <si>
    <t>素材集め</t>
  </si>
  <si>
    <t>キャラクターモデル</t>
  </si>
  <si>
    <t>Data/Model/Playerに導入済み</t>
  </si>
  <si>
    <t>攻撃モーション</t>
  </si>
  <si>
    <t>やられ・ガードモーション</t>
  </si>
  <si>
    <t>ステージモデル</t>
  </si>
  <si>
    <t>エフェクト素材</t>
  </si>
  <si>
    <t>SE</t>
  </si>
  <si>
    <t>BGM</t>
  </si>
  <si>
    <t>エフェクト</t>
  </si>
  <si>
    <t>エフェクトマネージャー</t>
  </si>
  <si>
    <t>ヒットエフェクト</t>
  </si>
  <si>
    <t>ガードエフェクト</t>
  </si>
  <si>
    <t>超必殺技エフェクト</t>
  </si>
  <si>
    <t>サウンド</t>
  </si>
  <si>
    <t>サウンドマネージャー</t>
  </si>
  <si>
    <t>SE実装</t>
  </si>
  <si>
    <t>BGM実装</t>
  </si>
  <si>
    <t>調整・提出</t>
  </si>
  <si>
    <t>バランス調整（フレーム・ダメージ）</t>
  </si>
  <si>
    <t>テストプレイ・フィードバック反映</t>
  </si>
  <si>
    <t>バグ修正</t>
  </si>
  <si>
    <t>最終バグ修正</t>
  </si>
  <si>
    <t>マスター</t>
  </si>
  <si>
    <t>ビルド・提出準備</t>
  </si>
  <si>
    <t>企画書・資料作成</t>
  </si>
  <si>
    <t>集計</t>
  </si>
  <si>
    <t>※1コスト = 1時間（スケジュールシートで変更可）</t>
  </si>
  <si>
    <t>区分</t>
  </si>
  <si>
    <t>総工数</t>
  </si>
  <si>
    <t>完了工数</t>
  </si>
  <si>
    <t>残工数</t>
  </si>
  <si>
    <t>進捗率</t>
  </si>
  <si>
    <t>全体</t>
  </si>
  <si>
    <t>カテゴリ</t>
  </si>
  <si>
    <t>件数</t>
  </si>
  <si>
    <t>工数</t>
  </si>
  <si>
    <t>保留</t>
  </si>
  <si>
    <t>使い方</t>
  </si>
  <si>
    <t>・左の表（タスク）に行を追加すると、集計は自動で更新されます</t>
  </si>
  <si>
    <t>・優先度／バージョン／ステータスはプルダウンから選択</t>
  </si>
  <si>
    <t>・作業工数＝見積もり、実コスト＝実際にかかった時間を記入</t>
  </si>
  <si>
    <t>・ステータスを「完了」にすると完了工数に入ります</t>
  </si>
  <si>
    <t>・備考の「追加提案」は格闘ゲームに必要そうなものを追加した項目</t>
  </si>
  <si>
    <t>・「実装済み」は現時点のコードから完了と判断した項目（工数は推定）</t>
  </si>
  <si>
    <t>バージョンと締切</t>
  </si>
  <si>
    <t>開始日</t>
  </si>
  <si>
    <t>締切</t>
  </si>
  <si>
    <t>残り日数</t>
  </si>
  <si>
    <t>累計残工数</t>
  </si>
  <si>
    <t>1日の必要コスト</t>
  </si>
  <si>
    <t>完全提出</t>
  </si>
  <si>
    <t>全体の見通し</t>
  </si>
  <si>
    <t>今日の日付</t>
  </si>
  <si>
    <t>経過日数</t>
  </si>
  <si>
    <t>提出までの残り日数</t>
  </si>
  <si>
    <t>消化工数</t>
  </si>
  <si>
    <t>消費コスト/日数</t>
  </si>
  <si>
    <t>1日の作業時間（入力）</t>
  </si>
  <si>
    <t>1コストの時間（入力）</t>
  </si>
  <si>
    <t>1日に消化できるコスト</t>
  </si>
  <si>
    <t>判定</t>
  </si>
  <si>
    <t>凡例</t>
  </si>
  <si>
    <t>・カレンダーの色はバージョンの期間（上の表の開始日・締切を変えると連動）</t>
  </si>
  <si>
    <t>・赤枠＋太字の日付 ＝ 今日</t>
  </si>
  <si>
    <t>・黄色のセルは入力欄（開始日・締切・1日の作業時間・1コストの時間）</t>
  </si>
  <si>
    <t>・1日の必要コストが「1日に消化できるコスト」を超えると赤くなります</t>
  </si>
  <si>
    <t>・総工数／残工数はコスト表のタスクから自動集計</t>
  </si>
  <si>
    <t>日</t>
  </si>
  <si>
    <t>月</t>
  </si>
  <si>
    <t>火</t>
  </si>
  <si>
    <t>水</t>
  </si>
  <si>
    <t>木</t>
  </si>
  <si>
    <t>金</t>
  </si>
  <si>
    <t>土</t>
  </si>
  <si>
    <t>問題</t>
  </si>
  <si>
    <t>メモ</t>
  </si>
  <si>
    <t>要望</t>
  </si>
  <si>
    <t>完了</t>
    <phoneticPr fontId="4"/>
  </si>
  <si>
    <t>AttackEditorSceneとして実装（10/28確認）</t>
    <phoneticPr fontId="4"/>
  </si>
  <si>
    <t>実装済み（10/28確認）</t>
    <phoneticPr fontId="4"/>
  </si>
  <si>
    <t>PlayerIdleState（10/28確認）</t>
    <phoneticPr fontId="4"/>
  </si>
  <si>
    <t>PlayerWalkState（10/28確認）</t>
    <phoneticPr fontId="4"/>
  </si>
  <si>
    <t>PlayerStepState forward/back（10/28確認）</t>
    <phoneticPr fontId="4"/>
  </si>
  <si>
    <t>PlayerStepState sideIn/sideOut（10/28確認）</t>
    <phoneticPr fontId="4"/>
  </si>
  <si>
    <t>IsOpponentOnRight／ToScreenDirection（10/28確認）</t>
    <phoneticPr fontId="4"/>
  </si>
  <si>
    <t>AttackData.csvの読み込み・保存（10/28確認）</t>
    <phoneticPr fontId="4"/>
  </si>
  <si>
    <t>作業中</t>
    <phoneticPr fontId="4"/>
  </si>
  <si>
    <t>Jabとして実装、ヒット時の処理は未接続（10/28確認）</t>
    <phoneticPr fontId="4"/>
  </si>
  <si>
    <t>LungeJabとして実装、ヒット時の処理は未接続（10/28確認）</t>
    <phoneticPr fontId="4"/>
  </si>
  <si>
    <t>BattleCollision（押し戻し・ヒット検出）（10/28確認）</t>
    <phoneticPr fontId="4"/>
  </si>
  <si>
    <t>Collision::Intersect（10/28確認）</t>
    <phoneticPr fontId="4"/>
  </si>
  <si>
    <t>ボーン追従のやられ判定13個（10/28確認）</t>
    <phoneticPr fontId="4"/>
  </si>
  <si>
    <t>HitBoxSet::StartAttack／EndAttack（10/28確認）</t>
    <phoneticPr fontId="4"/>
  </si>
  <si>
    <t>BattleCollision::ResolvePush（10/28確認）</t>
    <phoneticPr fontId="4"/>
  </si>
  <si>
    <t>HitBoxSet::Draw（10/28確認）</t>
    <phoneticPr fontId="4"/>
  </si>
  <si>
    <t>Jab・LungeJabを導入済み（10/28確認）</t>
    <phoneticPr fontId="4"/>
  </si>
  <si>
    <t>攻撃ヒットをバトルに接続（判定→通知→ダメージ・のけぞり）</t>
  </si>
  <si>
    <t>ResolveHitsは攻撃IDの記録のみ（10/28確認）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</si>
</sst>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"/>
    <numFmt numFmtId="177" formatCode="m&quot;月&quot;d&quot;日&quot;\(aaa\)"/>
    <numFmt numFmtId="178" formatCode="0&quot;日&quot;"/>
    <numFmt numFmtId="179" formatCode="0.0&quot;時間&quot;"/>
    <numFmt numFmtId="180" formatCode="d"/>
  </numFmts>
  <fonts count="18">
    <font>
      <sz val="11"/>
      <color theme="1"/>
      <name val="游ゴシック"/>
      <family val="2"/>
      <charset val="128"/>
      <scheme val="minor"/>
    </font>
    <font>
      <sz val="10"/>
      <color theme="1"/>
      <name val="Meiryo"/>
      <family val="3"/>
      <charset val="128"/>
    </font>
    <font>
      <sz val="11"/>
      <color rgb="FFFFFFFF"/>
      <name val="游ゴシック"/>
      <family val="2"/>
      <charset val="128"/>
      <scheme val="minor"/>
    </font>
    <font>
      <b/>
      <sz val="11"/>
      <color rgb="FFFFFFFF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3"/>
      <color theme="1"/>
      <name val="游ゴシック"/>
      <family val="3"/>
      <charset val="128"/>
      <scheme val="minor"/>
    </font>
    <font>
      <sz val="9"/>
      <color rgb="FF808080"/>
      <name val="游ゴシック"/>
      <family val="2"/>
      <charset val="128"/>
      <scheme val="minor"/>
    </font>
    <font>
      <sz val="9"/>
      <color theme="1"/>
      <name val="游ゴシック"/>
      <family val="2"/>
      <charset val="128"/>
      <scheme val="minor"/>
    </font>
    <font>
      <b/>
      <sz val="10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0"/>
      <color rgb="FFFFFFFF"/>
      <name val="Meiryo"/>
      <family val="3"/>
      <charset val="128"/>
    </font>
    <font>
      <b/>
      <sz val="10"/>
      <color rgb="FFFFFFFF"/>
      <name val="Meiryo"/>
      <family val="3"/>
      <charset val="128"/>
    </font>
    <font>
      <sz val="9"/>
      <color theme="1"/>
      <name val="Meiryo"/>
      <family val="3"/>
      <charset val="128"/>
    </font>
    <font>
      <sz val="10"/>
      <color rgb="FFFF0000"/>
      <name val="Meiryo"/>
      <family val="3"/>
      <charset val="128"/>
    </font>
    <font>
      <sz val="10"/>
      <color rgb="FF333333"/>
      <name val="Meiryo"/>
      <family val="3"/>
      <charset val="128"/>
    </font>
    <font>
      <sz val="10"/>
      <color rgb="FF0000FF"/>
      <name val="Meiryo"/>
      <family val="3"/>
      <charset val="128"/>
    </font>
    <font>
      <sz val="11"/>
      <color rgb="FF000000"/>
      <name val="游ゴシック"/>
      <family val="2"/>
      <charset val="128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A8FB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8ED973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B4EB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94DCF8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C1F0C8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78EE8"/>
        <bgColor indexed="64"/>
      </patternFill>
    </fill>
    <fill>
      <patternFill patternType="solid">
        <fgColor rgb="FFF2525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>
      <alignment vertical="center"/>
    </xf>
  </cellStyleXfs>
  <cellXfs count="8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2" borderId="0" xfId="0" applyFont="1" applyFill="1">
      <alignment vertical="center"/>
    </xf>
    <xf numFmtId="176" fontId="0" fillId="0" borderId="0" xfId="0" applyNumberFormat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0" fillId="9" borderId="0" xfId="0" applyFill="1">
      <alignment vertical="center"/>
    </xf>
    <xf numFmtId="0" fontId="0" fillId="10" borderId="0" xfId="0" applyFill="1">
      <alignment vertical="center"/>
    </xf>
    <xf numFmtId="0" fontId="0" fillId="11" borderId="0" xfId="0" applyFill="1">
      <alignment vertical="center"/>
    </xf>
    <xf numFmtId="0" fontId="0" fillId="12" borderId="0" xfId="0" applyFill="1">
      <alignment vertical="center"/>
    </xf>
    <xf numFmtId="0" fontId="2" fillId="13" borderId="0" xfId="0" applyFont="1" applyFill="1">
      <alignment vertical="center"/>
    </xf>
    <xf numFmtId="0" fontId="0" fillId="14" borderId="0" xfId="0" applyFill="1">
      <alignment vertical="center"/>
    </xf>
    <xf numFmtId="0" fontId="0" fillId="15" borderId="0" xfId="0" applyFill="1">
      <alignment vertical="center"/>
    </xf>
    <xf numFmtId="0" fontId="0" fillId="16" borderId="0" xfId="0" applyFill="1">
      <alignment vertical="center"/>
    </xf>
    <xf numFmtId="0" fontId="0" fillId="17" borderId="0" xfId="0" applyFill="1">
      <alignment vertical="center"/>
    </xf>
    <xf numFmtId="0" fontId="0" fillId="18" borderId="0" xfId="0" applyFill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3" fillId="2" borderId="1" xfId="0" applyFont="1" applyFill="1" applyBorder="1">
      <alignment vertical="center"/>
    </xf>
    <xf numFmtId="0" fontId="0" fillId="19" borderId="1" xfId="0" applyFill="1" applyBorder="1">
      <alignment vertical="center"/>
    </xf>
    <xf numFmtId="0" fontId="0" fillId="0" borderId="1" xfId="0" applyBorder="1">
      <alignment vertical="center"/>
    </xf>
    <xf numFmtId="0" fontId="0" fillId="20" borderId="1" xfId="0" applyFill="1" applyBorder="1">
      <alignment vertical="center"/>
    </xf>
    <xf numFmtId="0" fontId="0" fillId="21" borderId="1" xfId="0" applyFill="1" applyBorder="1">
      <alignment vertical="center"/>
    </xf>
    <xf numFmtId="0" fontId="0" fillId="22" borderId="1" xfId="0" applyFill="1" applyBorder="1">
      <alignment vertical="center"/>
    </xf>
    <xf numFmtId="0" fontId="0" fillId="2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6" borderId="1" xfId="0" applyFill="1" applyBorder="1">
      <alignment vertical="center"/>
    </xf>
    <xf numFmtId="0" fontId="0" fillId="7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9" borderId="1" xfId="0" applyFill="1" applyBorder="1">
      <alignment vertical="center"/>
    </xf>
    <xf numFmtId="0" fontId="0" fillId="10" borderId="1" xfId="0" applyFill="1" applyBorder="1">
      <alignment vertical="center"/>
    </xf>
    <xf numFmtId="0" fontId="0" fillId="11" borderId="1" xfId="0" applyFill="1" applyBorder="1">
      <alignment vertical="center"/>
    </xf>
    <xf numFmtId="0" fontId="0" fillId="12" borderId="1" xfId="0" applyFill="1" applyBorder="1">
      <alignment vertical="center"/>
    </xf>
    <xf numFmtId="0" fontId="2" fillId="13" borderId="1" xfId="0" applyFont="1" applyFill="1" applyBorder="1">
      <alignment vertical="center"/>
    </xf>
    <xf numFmtId="0" fontId="0" fillId="14" borderId="1" xfId="0" applyFill="1" applyBorder="1">
      <alignment vertical="center"/>
    </xf>
    <xf numFmtId="0" fontId="0" fillId="15" borderId="1" xfId="0" applyFill="1" applyBorder="1">
      <alignment vertical="center"/>
    </xf>
    <xf numFmtId="0" fontId="0" fillId="16" borderId="1" xfId="0" applyFill="1" applyBorder="1">
      <alignment vertical="center"/>
    </xf>
    <xf numFmtId="0" fontId="0" fillId="17" borderId="1" xfId="0" applyFill="1" applyBorder="1">
      <alignment vertical="center"/>
    </xf>
    <xf numFmtId="0" fontId="0" fillId="18" borderId="1" xfId="0" applyFill="1" applyBorder="1">
      <alignment vertical="center"/>
    </xf>
    <xf numFmtId="176" fontId="0" fillId="0" borderId="1" xfId="0" applyNumberFormat="1" applyBorder="1">
      <alignment vertical="center"/>
    </xf>
    <xf numFmtId="176" fontId="3" fillId="2" borderId="1" xfId="0" applyNumberFormat="1" applyFont="1" applyFill="1" applyBorder="1">
      <alignment vertical="center"/>
    </xf>
    <xf numFmtId="9" fontId="0" fillId="0" borderId="1" xfId="0" applyNumberFormat="1" applyBorder="1">
      <alignment vertical="center"/>
    </xf>
    <xf numFmtId="9" fontId="0" fillId="0" borderId="0" xfId="0" applyNumberFormat="1">
      <alignment vertical="center"/>
    </xf>
    <xf numFmtId="9" fontId="3" fillId="2" borderId="1" xfId="0" applyNumberFormat="1" applyFont="1" applyFill="1" applyBorder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2" fillId="2" borderId="1" xfId="0" applyFont="1" applyFill="1" applyBorder="1" applyAlignment="1">
      <alignment vertical="center" wrapText="1"/>
    </xf>
    <xf numFmtId="0" fontId="1" fillId="20" borderId="1" xfId="0" applyFont="1" applyFill="1" applyBorder="1">
      <alignment vertical="center"/>
    </xf>
    <xf numFmtId="177" fontId="1" fillId="10" borderId="1" xfId="0" applyNumberFormat="1" applyFont="1" applyFill="1" applyBorder="1">
      <alignment vertical="center"/>
    </xf>
    <xf numFmtId="178" fontId="1" fillId="0" borderId="1" xfId="0" applyNumberFormat="1" applyFont="1" applyBorder="1">
      <alignment vertical="center"/>
    </xf>
    <xf numFmtId="176" fontId="1" fillId="0" borderId="1" xfId="0" applyNumberFormat="1" applyFont="1" applyBorder="1">
      <alignment vertical="center"/>
    </xf>
    <xf numFmtId="2" fontId="1" fillId="0" borderId="1" xfId="0" applyNumberFormat="1" applyFont="1" applyBorder="1">
      <alignment vertical="center"/>
    </xf>
    <xf numFmtId="0" fontId="1" fillId="21" borderId="1" xfId="0" applyFont="1" applyFill="1" applyBorder="1">
      <alignment vertical="center"/>
    </xf>
    <xf numFmtId="0" fontId="1" fillId="22" borderId="1" xfId="0" applyFont="1" applyFill="1" applyBorder="1">
      <alignment vertical="center"/>
    </xf>
    <xf numFmtId="0" fontId="1" fillId="23" borderId="1" xfId="0" applyFont="1" applyFill="1" applyBorder="1">
      <alignment vertical="center"/>
    </xf>
    <xf numFmtId="0" fontId="11" fillId="24" borderId="1" xfId="0" applyFont="1" applyFill="1" applyBorder="1">
      <alignment vertical="center"/>
    </xf>
    <xf numFmtId="0" fontId="1" fillId="25" borderId="1" xfId="0" applyFont="1" applyFill="1" applyBorder="1">
      <alignment vertical="center"/>
    </xf>
    <xf numFmtId="14" fontId="1" fillId="25" borderId="1" xfId="0" applyNumberFormat="1" applyFont="1" applyFill="1" applyBorder="1">
      <alignment vertical="center"/>
    </xf>
    <xf numFmtId="178" fontId="1" fillId="25" borderId="1" xfId="0" applyNumberFormat="1" applyFont="1" applyFill="1" applyBorder="1">
      <alignment vertical="center"/>
    </xf>
    <xf numFmtId="176" fontId="1" fillId="25" borderId="1" xfId="0" applyNumberFormat="1" applyFont="1" applyFill="1" applyBorder="1">
      <alignment vertical="center"/>
    </xf>
    <xf numFmtId="9" fontId="1" fillId="25" borderId="1" xfId="0" applyNumberFormat="1" applyFont="1" applyFill="1" applyBorder="1">
      <alignment vertical="center"/>
    </xf>
    <xf numFmtId="2" fontId="1" fillId="25" borderId="1" xfId="0" applyNumberFormat="1" applyFont="1" applyFill="1" applyBorder="1">
      <alignment vertical="center"/>
    </xf>
    <xf numFmtId="179" fontId="1" fillId="10" borderId="1" xfId="0" applyNumberFormat="1" applyFont="1" applyFill="1" applyBorder="1">
      <alignment vertical="center"/>
    </xf>
    <xf numFmtId="0" fontId="9" fillId="25" borderId="1" xfId="0" applyFont="1" applyFill="1" applyBorder="1">
      <alignment vertical="center"/>
    </xf>
    <xf numFmtId="0" fontId="13" fillId="0" borderId="0" xfId="0" applyFont="1">
      <alignment vertical="center"/>
    </xf>
    <xf numFmtId="0" fontId="14" fillId="26" borderId="1" xfId="0" applyFont="1" applyFill="1" applyBorder="1" applyAlignment="1">
      <alignment horizontal="center" vertical="center"/>
    </xf>
    <xf numFmtId="0" fontId="15" fillId="26" borderId="1" xfId="0" applyFont="1" applyFill="1" applyBorder="1" applyAlignment="1">
      <alignment horizontal="center" vertical="center"/>
    </xf>
    <xf numFmtId="0" fontId="16" fillId="26" borderId="1" xfId="0" applyFont="1" applyFill="1" applyBorder="1" applyAlignment="1">
      <alignment horizontal="center" vertical="center"/>
    </xf>
    <xf numFmtId="180" fontId="14" fillId="0" borderId="1" xfId="0" applyNumberFormat="1" applyFont="1" applyBorder="1" applyAlignment="1">
      <alignment horizontal="center" vertical="center"/>
    </xf>
    <xf numFmtId="180" fontId="1" fillId="0" borderId="1" xfId="0" applyNumberFormat="1" applyFont="1" applyBorder="1" applyAlignment="1">
      <alignment horizontal="center" vertical="center"/>
    </xf>
    <xf numFmtId="180" fontId="16" fillId="0" borderId="1" xfId="0" applyNumberFormat="1" applyFont="1" applyBorder="1" applyAlignment="1">
      <alignment horizontal="center" vertical="center"/>
    </xf>
    <xf numFmtId="0" fontId="5" fillId="19" borderId="0" xfId="0" applyFont="1" applyFill="1">
      <alignment vertical="center"/>
    </xf>
    <xf numFmtId="0" fontId="5" fillId="19" borderId="1" xfId="0" applyFont="1" applyFill="1" applyBorder="1">
      <alignment vertical="center"/>
    </xf>
    <xf numFmtId="0" fontId="17" fillId="10" borderId="0" xfId="0" applyFont="1" applyFill="1">
      <alignment vertical="center"/>
    </xf>
    <xf numFmtId="55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1">
    <cellStyle name="標準" xfId="0" builtinId="0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FF"/>
      </font>
      <fill>
        <patternFill>
          <bgColor rgb="FFF25252"/>
        </patternFill>
      </fill>
    </dxf>
    <dxf>
      <fill>
        <patternFill>
          <bgColor rgb="FFC78EE8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b/>
        <i val="0"/>
        <color rgb="FFFF0000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ill>
        <patternFill>
          <bgColor rgb="FFD9D9D9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charset val="12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charset val="12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charset val="128"/>
        <scheme val="minor"/>
      </font>
      <numFmt numFmtId="176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charset val="128"/>
        <scheme val="minor"/>
      </font>
      <numFmt numFmtId="176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charset val="12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charset val="12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charset val="12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charset val="12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charset val="12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charset val="128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游ゴシック"/>
        <family val="3"/>
        <charset val="128"/>
        <scheme val="minor"/>
      </font>
      <fill>
        <patternFill patternType="solid">
          <fgColor indexed="64"/>
          <bgColor rgb="FF4472C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9F270B-EF5F-4AFE-9549-39B2F9CB1AAB}" name="タスク" displayName="タスク" ref="B2:J107" totalsRowShown="0" headerRowDxfId="22" dataDxfId="21">
  <autoFilter ref="B2:J107" xr:uid="{BC9F270B-EF5F-4AFE-9549-39B2F9CB1AAB}"/>
  <tableColumns count="9">
    <tableColumn id="1" xr3:uid="{212961F9-CB6C-4E2C-BEF6-955261EA89AF}" name="担当者" dataDxfId="20"/>
    <tableColumn id="2" xr3:uid="{0750B9F1-340F-404B-90DA-B54B51CB66F8}" name="概要" dataDxfId="19"/>
    <tableColumn id="3" xr3:uid="{1CD44B2B-3EB4-4203-90E2-54A4E065D88B}" name="詳細" dataDxfId="18"/>
    <tableColumn id="4" xr3:uid="{CFD4A3AE-C33E-40D5-8BC8-9DFBE8F75265}" name="優先度" dataDxfId="17"/>
    <tableColumn id="5" xr3:uid="{12427F9E-E791-4734-8626-763B9F98E148}" name="バージョン" dataDxfId="16"/>
    <tableColumn id="6" xr3:uid="{D8B46C24-F9FD-427A-B5CF-3F73DE317606}" name="作業工数" dataDxfId="15"/>
    <tableColumn id="7" xr3:uid="{CBAAA8C0-808C-4B91-92B1-9E6C291FC98E}" name="実コスト" dataDxfId="14"/>
    <tableColumn id="8" xr3:uid="{9ED882ED-1BDE-456F-B012-E4F5FF768F7E}" name="ステータス" dataDxfId="13"/>
    <tableColumn id="9" xr3:uid="{B73A1625-CDB2-4A5E-BF83-C34963B18751}" name="備考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7276B-2E2B-466F-8FAA-AAD22BE14252}">
  <dimension ref="B2:P107"/>
  <sheetViews>
    <sheetView showGridLines="0" tabSelected="1" workbookViewId="0">
      <pane ySplit="2" topLeftCell="A9" activePane="bottomLeft" state="frozen"/>
      <selection pane="bottomLeft" activeCell="J15" sqref="J15"/>
    </sheetView>
  </sheetViews>
  <sheetFormatPr defaultRowHeight="18.75"/>
  <cols>
    <col min="1" max="1" width="2.625" customWidth="1"/>
    <col min="2" max="2" width="9.625" customWidth="1"/>
    <col min="3" max="3" width="12.625" customWidth="1"/>
    <col min="4" max="4" width="50.625" customWidth="1"/>
    <col min="5" max="5" width="8.625" customWidth="1"/>
    <col min="6" max="6" width="11.625" customWidth="1"/>
    <col min="7" max="8" width="10.625" customWidth="1"/>
    <col min="9" max="9" width="11.625" customWidth="1"/>
    <col min="10" max="10" width="26.625" customWidth="1"/>
    <col min="11" max="11" width="2.625" customWidth="1"/>
    <col min="12" max="12" width="14.625" customWidth="1"/>
    <col min="13" max="13" width="10.625" customWidth="1"/>
    <col min="14" max="14" width="12.625" customWidth="1"/>
    <col min="15" max="16" width="10.625" customWidth="1"/>
  </cols>
  <sheetData>
    <row r="2" spans="2:16" ht="20.25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L2" s="21" t="s">
        <v>145</v>
      </c>
    </row>
    <row r="3" spans="2:16">
      <c r="B3" s="4" t="s">
        <v>9</v>
      </c>
      <c r="C3" s="5" t="s">
        <v>10</v>
      </c>
      <c r="D3" t="s">
        <v>11</v>
      </c>
      <c r="E3" t="s">
        <v>12</v>
      </c>
      <c r="F3" t="s">
        <v>13</v>
      </c>
      <c r="G3" s="3">
        <v>4</v>
      </c>
      <c r="H3" s="3"/>
      <c r="I3" t="s">
        <v>14</v>
      </c>
      <c r="J3" t="s">
        <v>15</v>
      </c>
      <c r="L3" s="22" t="s">
        <v>146</v>
      </c>
    </row>
    <row r="4" spans="2:16">
      <c r="B4" s="4" t="s">
        <v>9</v>
      </c>
      <c r="C4" s="5" t="s">
        <v>10</v>
      </c>
      <c r="D4" t="s">
        <v>16</v>
      </c>
      <c r="E4" t="s">
        <v>12</v>
      </c>
      <c r="F4" t="s">
        <v>13</v>
      </c>
      <c r="G4" s="3">
        <v>1</v>
      </c>
      <c r="H4" s="3"/>
      <c r="I4" t="s">
        <v>14</v>
      </c>
      <c r="J4" t="s">
        <v>15</v>
      </c>
    </row>
    <row r="5" spans="2:16">
      <c r="B5" s="4" t="s">
        <v>9</v>
      </c>
      <c r="C5" s="5" t="s">
        <v>10</v>
      </c>
      <c r="D5" t="s">
        <v>17</v>
      </c>
      <c r="E5" t="s">
        <v>12</v>
      </c>
      <c r="F5" t="s">
        <v>13</v>
      </c>
      <c r="G5" s="3">
        <v>1</v>
      </c>
      <c r="H5" s="3"/>
      <c r="I5" t="s">
        <v>14</v>
      </c>
      <c r="J5" t="s">
        <v>15</v>
      </c>
      <c r="L5" s="23" t="s">
        <v>147</v>
      </c>
      <c r="M5" s="23" t="s">
        <v>148</v>
      </c>
      <c r="N5" s="23" t="s">
        <v>149</v>
      </c>
      <c r="O5" s="23" t="s">
        <v>150</v>
      </c>
      <c r="P5" s="23" t="s">
        <v>151</v>
      </c>
    </row>
    <row r="6" spans="2:16">
      <c r="B6" s="4" t="s">
        <v>9</v>
      </c>
      <c r="C6" s="5" t="s">
        <v>10</v>
      </c>
      <c r="D6" t="s">
        <v>18</v>
      </c>
      <c r="E6" t="s">
        <v>12</v>
      </c>
      <c r="F6" t="s">
        <v>13</v>
      </c>
      <c r="G6" s="3">
        <v>2</v>
      </c>
      <c r="H6" s="3"/>
      <c r="I6" t="s">
        <v>14</v>
      </c>
      <c r="J6" t="s">
        <v>15</v>
      </c>
      <c r="L6" s="24" t="s">
        <v>152</v>
      </c>
      <c r="M6" s="45">
        <f>SUM(タスク[作業工数])</f>
        <v>153.9</v>
      </c>
      <c r="N6" s="45">
        <f>SUMIF(タスク[ステータス],"完了",タスク[作業工数])</f>
        <v>42.2</v>
      </c>
      <c r="O6" s="45">
        <f>M6-N6</f>
        <v>111.7</v>
      </c>
      <c r="P6" s="47">
        <f>IF(M6=0,0,N6/M6)</f>
        <v>0.27420402858999349</v>
      </c>
    </row>
    <row r="7" spans="2:16">
      <c r="B7" s="4" t="s">
        <v>9</v>
      </c>
      <c r="C7" s="5" t="s">
        <v>10</v>
      </c>
      <c r="D7" t="s">
        <v>19</v>
      </c>
      <c r="E7" t="s">
        <v>12</v>
      </c>
      <c r="F7" t="s">
        <v>13</v>
      </c>
      <c r="G7" s="3">
        <v>1</v>
      </c>
      <c r="H7" s="3"/>
      <c r="I7" t="s">
        <v>14</v>
      </c>
      <c r="J7" t="s">
        <v>20</v>
      </c>
      <c r="L7" s="26" t="s">
        <v>13</v>
      </c>
      <c r="M7" s="45">
        <f>SUMIF(タスク[バージョン],L7,タスク[作業工数])</f>
        <v>83.4</v>
      </c>
      <c r="N7" s="45">
        <f>SUMIFS(タスク[作業工数],タスク[バージョン],L7,タスク[ステータス],"完了")</f>
        <v>42.2</v>
      </c>
      <c r="O7" s="45">
        <f>M7-N7</f>
        <v>41.2</v>
      </c>
      <c r="P7" s="47">
        <f>IF(M7=0,0,N7/M7)</f>
        <v>0.50599520383693042</v>
      </c>
    </row>
    <row r="8" spans="2:16">
      <c r="B8" s="4" t="s">
        <v>9</v>
      </c>
      <c r="C8" s="5" t="s">
        <v>10</v>
      </c>
      <c r="D8" t="s">
        <v>21</v>
      </c>
      <c r="E8" t="s">
        <v>22</v>
      </c>
      <c r="F8" t="s">
        <v>13</v>
      </c>
      <c r="G8" s="3">
        <v>0.5</v>
      </c>
      <c r="H8" s="3"/>
      <c r="I8" t="s">
        <v>14</v>
      </c>
      <c r="J8" t="s">
        <v>15</v>
      </c>
      <c r="L8" s="27" t="s">
        <v>38</v>
      </c>
      <c r="M8" s="45">
        <f>SUMIF(タスク[バージョン],L8,タスク[作業工数])</f>
        <v>47</v>
      </c>
      <c r="N8" s="45">
        <f>SUMIFS(タスク[作業工数],タスク[バージョン],L8,タスク[ステータス],"完了")</f>
        <v>0</v>
      </c>
      <c r="O8" s="45">
        <f>M8-N8</f>
        <v>47</v>
      </c>
      <c r="P8" s="47">
        <f>IF(M8=0,0,N8/M8)</f>
        <v>0</v>
      </c>
    </row>
    <row r="9" spans="2:16">
      <c r="B9" s="4" t="s">
        <v>9</v>
      </c>
      <c r="C9" s="5" t="s">
        <v>10</v>
      </c>
      <c r="D9" t="s">
        <v>23</v>
      </c>
      <c r="E9" t="s">
        <v>24</v>
      </c>
      <c r="F9" t="s">
        <v>13</v>
      </c>
      <c r="G9" s="3">
        <v>0.5</v>
      </c>
      <c r="H9" s="3"/>
      <c r="I9" t="s">
        <v>14</v>
      </c>
      <c r="J9" t="s">
        <v>15</v>
      </c>
      <c r="L9" s="28" t="s">
        <v>107</v>
      </c>
      <c r="M9" s="45">
        <f>SUMIF(タスク[バージョン],L9,タスク[作業工数])</f>
        <v>14.5</v>
      </c>
      <c r="N9" s="45">
        <f>SUMIFS(タスク[作業工数],タスク[バージョン],L9,タスク[ステータス],"完了")</f>
        <v>0</v>
      </c>
      <c r="O9" s="45">
        <f>M9-N9</f>
        <v>14.5</v>
      </c>
      <c r="P9" s="47">
        <f>IF(M9=0,0,N9/M9)</f>
        <v>0</v>
      </c>
    </row>
    <row r="10" spans="2:16">
      <c r="B10" s="4" t="s">
        <v>9</v>
      </c>
      <c r="C10" s="5" t="s">
        <v>10</v>
      </c>
      <c r="D10" t="s">
        <v>25</v>
      </c>
      <c r="E10" t="s">
        <v>12</v>
      </c>
      <c r="F10" t="s">
        <v>13</v>
      </c>
      <c r="G10" s="3">
        <v>3</v>
      </c>
      <c r="H10" s="3"/>
      <c r="I10" t="s">
        <v>197</v>
      </c>
      <c r="J10" t="s">
        <v>198</v>
      </c>
      <c r="L10" s="29" t="s">
        <v>142</v>
      </c>
      <c r="M10" s="45">
        <f>SUMIF(タスク[バージョン],L10,タスク[作業工数])</f>
        <v>9</v>
      </c>
      <c r="N10" s="45">
        <f>SUMIFS(タスク[作業工数],タスク[バージョン],L10,タスク[ステータス],"完了")</f>
        <v>0</v>
      </c>
      <c r="O10" s="45">
        <f>M10-N10</f>
        <v>9</v>
      </c>
      <c r="P10" s="47">
        <f>IF(M10=0,0,N10/M10)</f>
        <v>0</v>
      </c>
    </row>
    <row r="11" spans="2:16">
      <c r="B11" s="4" t="s">
        <v>9</v>
      </c>
      <c r="C11" s="6" t="s">
        <v>28</v>
      </c>
      <c r="D11" t="s">
        <v>29</v>
      </c>
      <c r="E11" t="s">
        <v>12</v>
      </c>
      <c r="F11" t="s">
        <v>13</v>
      </c>
      <c r="G11" s="3">
        <v>2</v>
      </c>
      <c r="H11" s="3"/>
      <c r="I11" t="s">
        <v>14</v>
      </c>
      <c r="J11" t="s">
        <v>15</v>
      </c>
      <c r="M11" s="3"/>
      <c r="N11" s="3"/>
      <c r="O11" s="3"/>
      <c r="P11" s="48"/>
    </row>
    <row r="12" spans="2:16">
      <c r="B12" s="4" t="s">
        <v>9</v>
      </c>
      <c r="C12" s="6" t="s">
        <v>28</v>
      </c>
      <c r="D12" t="s">
        <v>30</v>
      </c>
      <c r="E12" t="s">
        <v>12</v>
      </c>
      <c r="F12" t="s">
        <v>13</v>
      </c>
      <c r="G12" s="3">
        <v>1</v>
      </c>
      <c r="H12" s="3"/>
      <c r="I12" t="s">
        <v>14</v>
      </c>
      <c r="J12" t="s">
        <v>15</v>
      </c>
      <c r="L12" s="23" t="s">
        <v>153</v>
      </c>
      <c r="M12" s="46" t="s">
        <v>148</v>
      </c>
      <c r="N12" s="46" t="s">
        <v>149</v>
      </c>
      <c r="O12" s="46" t="s">
        <v>150</v>
      </c>
      <c r="P12" s="49" t="s">
        <v>151</v>
      </c>
    </row>
    <row r="13" spans="2:16">
      <c r="B13" s="4" t="s">
        <v>9</v>
      </c>
      <c r="C13" s="6" t="s">
        <v>28</v>
      </c>
      <c r="D13" t="s">
        <v>31</v>
      </c>
      <c r="E13" t="s">
        <v>12</v>
      </c>
      <c r="F13" t="s">
        <v>13</v>
      </c>
      <c r="G13" s="3">
        <v>2</v>
      </c>
      <c r="H13" s="3"/>
      <c r="I13" t="s">
        <v>14</v>
      </c>
      <c r="J13" t="s">
        <v>15</v>
      </c>
      <c r="L13" s="30" t="s">
        <v>10</v>
      </c>
      <c r="M13" s="45">
        <f>SUMIF(タスク[概要],L13,タスク[作業工数])</f>
        <v>13</v>
      </c>
      <c r="N13" s="45">
        <f>SUMIFS(タスク[作業工数],タスク[概要],L13,タスク[ステータス],"完了")</f>
        <v>13</v>
      </c>
      <c r="O13" s="45">
        <f t="shared" ref="O13:O27" si="0">M13-N13</f>
        <v>0</v>
      </c>
      <c r="P13" s="47">
        <f t="shared" ref="P13:P27" si="1">IF(M13=0,0,N13/M13)</f>
        <v>1</v>
      </c>
    </row>
    <row r="14" spans="2:16">
      <c r="B14" s="4" t="s">
        <v>9</v>
      </c>
      <c r="C14" s="6" t="s">
        <v>28</v>
      </c>
      <c r="D14" t="s">
        <v>32</v>
      </c>
      <c r="E14" t="s">
        <v>24</v>
      </c>
      <c r="F14" t="s">
        <v>13</v>
      </c>
      <c r="G14" s="3">
        <v>0.5</v>
      </c>
      <c r="H14" s="3"/>
      <c r="I14" t="s">
        <v>14</v>
      </c>
      <c r="J14" t="s">
        <v>15</v>
      </c>
      <c r="L14" s="31" t="s">
        <v>28</v>
      </c>
      <c r="M14" s="45">
        <f>SUMIF(タスク[概要],L14,タスク[作業工数])</f>
        <v>13.5</v>
      </c>
      <c r="N14" s="45">
        <f>SUMIFS(タスク[作業工数],タスク[概要],L14,タスク[ステータス],"完了")</f>
        <v>9.5</v>
      </c>
      <c r="O14" s="45">
        <f t="shared" si="0"/>
        <v>4</v>
      </c>
      <c r="P14" s="47">
        <f t="shared" si="1"/>
        <v>0.70370370370370372</v>
      </c>
    </row>
    <row r="15" spans="2:16">
      <c r="B15" s="4" t="s">
        <v>9</v>
      </c>
      <c r="C15" s="6" t="s">
        <v>28</v>
      </c>
      <c r="D15" t="s">
        <v>33</v>
      </c>
      <c r="E15" t="s">
        <v>12</v>
      </c>
      <c r="F15" t="s">
        <v>13</v>
      </c>
      <c r="G15" s="3">
        <v>2</v>
      </c>
      <c r="H15" s="3"/>
      <c r="I15" t="s">
        <v>14</v>
      </c>
      <c r="J15" t="s">
        <v>27</v>
      </c>
      <c r="L15" s="32" t="s">
        <v>40</v>
      </c>
      <c r="M15" s="45">
        <f>SUMIF(タスク[概要],L15,タスク[作業工数])</f>
        <v>7.9</v>
      </c>
      <c r="N15" s="45">
        <f>SUMIFS(タスク[作業工数],タスク[概要],L15,タスク[ステータス],"完了")</f>
        <v>6.7</v>
      </c>
      <c r="O15" s="45">
        <f t="shared" si="0"/>
        <v>1.2000000000000002</v>
      </c>
      <c r="P15" s="47">
        <f t="shared" si="1"/>
        <v>0.84810126582278478</v>
      </c>
    </row>
    <row r="16" spans="2:16">
      <c r="B16" s="4" t="s">
        <v>9</v>
      </c>
      <c r="C16" s="6" t="s">
        <v>28</v>
      </c>
      <c r="D16" t="s">
        <v>35</v>
      </c>
      <c r="E16" t="s">
        <v>12</v>
      </c>
      <c r="F16" t="s">
        <v>13</v>
      </c>
      <c r="G16" s="3">
        <v>2</v>
      </c>
      <c r="H16" s="3"/>
      <c r="I16" t="s">
        <v>14</v>
      </c>
      <c r="J16" t="s">
        <v>27</v>
      </c>
      <c r="L16" s="33" t="s">
        <v>50</v>
      </c>
      <c r="M16" s="45">
        <f>SUMIF(タスク[概要],L16,タスク[作業工数])</f>
        <v>24</v>
      </c>
      <c r="N16" s="45">
        <f>SUMIFS(タスク[作業工数],タスク[概要],L16,タスク[ステータス],"完了")</f>
        <v>2</v>
      </c>
      <c r="O16" s="45">
        <f t="shared" si="0"/>
        <v>22</v>
      </c>
      <c r="P16" s="47">
        <f t="shared" si="1"/>
        <v>8.3333333333333329E-2</v>
      </c>
    </row>
    <row r="17" spans="2:16">
      <c r="B17" s="4" t="s">
        <v>9</v>
      </c>
      <c r="C17" s="6" t="s">
        <v>28</v>
      </c>
      <c r="D17" t="s">
        <v>36</v>
      </c>
      <c r="E17" t="s">
        <v>12</v>
      </c>
      <c r="F17" t="s">
        <v>13</v>
      </c>
      <c r="G17" s="3">
        <v>2</v>
      </c>
      <c r="H17" s="3"/>
      <c r="I17" t="s">
        <v>26</v>
      </c>
      <c r="J17" t="s">
        <v>27</v>
      </c>
      <c r="L17" s="34" t="s">
        <v>67</v>
      </c>
      <c r="M17" s="45">
        <f>SUMIF(タスク[概要],L17,タスク[作業工数])</f>
        <v>9</v>
      </c>
      <c r="N17" s="45">
        <f>SUMIFS(タスク[作業工数],タスク[概要],L17,タスク[ステータス],"完了")</f>
        <v>0</v>
      </c>
      <c r="O17" s="45">
        <f t="shared" si="0"/>
        <v>9</v>
      </c>
      <c r="P17" s="47">
        <f t="shared" si="1"/>
        <v>0</v>
      </c>
    </row>
    <row r="18" spans="2:16">
      <c r="B18" s="4" t="s">
        <v>9</v>
      </c>
      <c r="C18" s="6" t="s">
        <v>28</v>
      </c>
      <c r="D18" t="s">
        <v>37</v>
      </c>
      <c r="E18" t="s">
        <v>22</v>
      </c>
      <c r="F18" t="s">
        <v>38</v>
      </c>
      <c r="G18" s="3">
        <v>2</v>
      </c>
      <c r="H18" s="3"/>
      <c r="I18" t="s">
        <v>34</v>
      </c>
      <c r="J18" t="s">
        <v>39</v>
      </c>
      <c r="L18" s="35" t="s">
        <v>76</v>
      </c>
      <c r="M18" s="45">
        <f>SUMIF(タスク[概要],L18,タスク[作業工数])</f>
        <v>9.5</v>
      </c>
      <c r="N18" s="45">
        <f>SUMIFS(タスク[作業工数],タスク[概要],L18,タスク[ステータス],"完了")</f>
        <v>8</v>
      </c>
      <c r="O18" s="45">
        <f t="shared" si="0"/>
        <v>1.5</v>
      </c>
      <c r="P18" s="47">
        <f t="shared" si="1"/>
        <v>0.84210526315789469</v>
      </c>
    </row>
    <row r="19" spans="2:16">
      <c r="B19" s="4" t="s">
        <v>9</v>
      </c>
      <c r="C19" s="7" t="s">
        <v>40</v>
      </c>
      <c r="D19" t="s">
        <v>41</v>
      </c>
      <c r="E19" t="s">
        <v>12</v>
      </c>
      <c r="F19" t="s">
        <v>13</v>
      </c>
      <c r="G19" s="3">
        <v>1.5</v>
      </c>
      <c r="H19" s="3"/>
      <c r="I19" t="s">
        <v>197</v>
      </c>
      <c r="J19" t="s">
        <v>199</v>
      </c>
      <c r="L19" s="36" t="s">
        <v>86</v>
      </c>
      <c r="M19" s="45">
        <f>SUMIF(タスク[概要],L19,タスク[作業工数])</f>
        <v>7.5</v>
      </c>
      <c r="N19" s="45">
        <f>SUMIFS(タスク[作業工数],タスク[概要],L19,タスク[ステータス],"完了")</f>
        <v>0</v>
      </c>
      <c r="O19" s="45">
        <f t="shared" si="0"/>
        <v>7.5</v>
      </c>
      <c r="P19" s="47">
        <f t="shared" si="1"/>
        <v>0</v>
      </c>
    </row>
    <row r="20" spans="2:16">
      <c r="B20" s="4" t="s">
        <v>9</v>
      </c>
      <c r="C20" s="7" t="s">
        <v>40</v>
      </c>
      <c r="D20" t="s">
        <v>42</v>
      </c>
      <c r="E20" t="s">
        <v>12</v>
      </c>
      <c r="F20" t="s">
        <v>13</v>
      </c>
      <c r="G20" s="3">
        <v>0.2</v>
      </c>
      <c r="H20" s="3"/>
      <c r="I20" t="s">
        <v>197</v>
      </c>
      <c r="J20" t="s">
        <v>200</v>
      </c>
      <c r="L20" s="37" t="s">
        <v>92</v>
      </c>
      <c r="M20" s="45">
        <f>SUMIF(タスク[概要],L20,タスク[作業工数])</f>
        <v>15</v>
      </c>
      <c r="N20" s="45">
        <f>SUMIFS(タスク[作業工数],タスク[概要],L20,タスク[ステータス],"完了")</f>
        <v>2</v>
      </c>
      <c r="O20" s="45">
        <f t="shared" si="0"/>
        <v>13</v>
      </c>
      <c r="P20" s="47">
        <f t="shared" si="1"/>
        <v>0.13333333333333333</v>
      </c>
    </row>
    <row r="21" spans="2:16">
      <c r="B21" s="4" t="s">
        <v>9</v>
      </c>
      <c r="C21" s="7" t="s">
        <v>40</v>
      </c>
      <c r="D21" t="s">
        <v>43</v>
      </c>
      <c r="E21" t="s">
        <v>12</v>
      </c>
      <c r="F21" t="s">
        <v>13</v>
      </c>
      <c r="G21" s="3">
        <v>0.2</v>
      </c>
      <c r="H21" s="3"/>
      <c r="I21" t="s">
        <v>26</v>
      </c>
      <c r="J21" t="s">
        <v>27</v>
      </c>
      <c r="L21" s="38" t="s">
        <v>101</v>
      </c>
      <c r="M21" s="45">
        <f>SUMIF(タスク[概要],L21,タスク[作業工数])</f>
        <v>6</v>
      </c>
      <c r="N21" s="45">
        <f>SUMIFS(タスク[作業工数],タスク[概要],L21,タスク[ステータス],"完了")</f>
        <v>0</v>
      </c>
      <c r="O21" s="45">
        <f t="shared" si="0"/>
        <v>6</v>
      </c>
      <c r="P21" s="47">
        <f t="shared" si="1"/>
        <v>0</v>
      </c>
    </row>
    <row r="22" spans="2:16">
      <c r="B22" s="4" t="s">
        <v>9</v>
      </c>
      <c r="C22" s="7" t="s">
        <v>40</v>
      </c>
      <c r="D22" t="s">
        <v>44</v>
      </c>
      <c r="E22" t="s">
        <v>12</v>
      </c>
      <c r="F22" t="s">
        <v>13</v>
      </c>
      <c r="G22" s="3">
        <v>1</v>
      </c>
      <c r="H22" s="3"/>
      <c r="I22" t="s">
        <v>197</v>
      </c>
      <c r="J22" t="s">
        <v>201</v>
      </c>
      <c r="L22" s="39" t="s">
        <v>108</v>
      </c>
      <c r="M22" s="45">
        <f>SUMIF(タスク[概要],L22,タスク[作業工数])</f>
        <v>5</v>
      </c>
      <c r="N22" s="45">
        <f>SUMIFS(タスク[作業工数],タスク[概要],L22,タスク[ステータス],"完了")</f>
        <v>0</v>
      </c>
      <c r="O22" s="45">
        <f t="shared" si="0"/>
        <v>5</v>
      </c>
      <c r="P22" s="47">
        <f t="shared" si="1"/>
        <v>0</v>
      </c>
    </row>
    <row r="23" spans="2:16">
      <c r="B23" s="4" t="s">
        <v>9</v>
      </c>
      <c r="C23" s="7" t="s">
        <v>40</v>
      </c>
      <c r="D23" t="s">
        <v>45</v>
      </c>
      <c r="E23" t="s">
        <v>12</v>
      </c>
      <c r="F23" t="s">
        <v>13</v>
      </c>
      <c r="G23" s="3">
        <v>1</v>
      </c>
      <c r="H23" s="3"/>
      <c r="I23" t="s">
        <v>197</v>
      </c>
      <c r="J23" t="s">
        <v>202</v>
      </c>
      <c r="L23" s="40" t="s">
        <v>115</v>
      </c>
      <c r="M23" s="45">
        <f>SUMIF(タスク[概要],L23,タスク[作業工数])</f>
        <v>6</v>
      </c>
      <c r="N23" s="45">
        <f>SUMIFS(タスク[作業工数],タスク[概要],L23,タスク[ステータス],"完了")</f>
        <v>0</v>
      </c>
      <c r="O23" s="45">
        <f t="shared" si="0"/>
        <v>6</v>
      </c>
      <c r="P23" s="47">
        <f t="shared" si="1"/>
        <v>0</v>
      </c>
    </row>
    <row r="24" spans="2:16">
      <c r="B24" s="4" t="s">
        <v>9</v>
      </c>
      <c r="C24" s="7" t="s">
        <v>40</v>
      </c>
      <c r="D24" t="s">
        <v>46</v>
      </c>
      <c r="E24" t="s">
        <v>12</v>
      </c>
      <c r="F24" t="s">
        <v>13</v>
      </c>
      <c r="G24" s="3">
        <v>1</v>
      </c>
      <c r="H24" s="3"/>
      <c r="I24" t="s">
        <v>197</v>
      </c>
      <c r="J24" t="s">
        <v>203</v>
      </c>
      <c r="L24" s="41" t="s">
        <v>119</v>
      </c>
      <c r="M24" s="45">
        <f>SUMIF(タスク[概要],L24,タスク[作業工数])</f>
        <v>9</v>
      </c>
      <c r="N24" s="45">
        <f>SUMIFS(タスク[作業工数],タスク[概要],L24,タスク[ステータス],"完了")</f>
        <v>1</v>
      </c>
      <c r="O24" s="45">
        <f t="shared" si="0"/>
        <v>8</v>
      </c>
      <c r="P24" s="47">
        <f t="shared" si="1"/>
        <v>0.1111111111111111</v>
      </c>
    </row>
    <row r="25" spans="2:16">
      <c r="B25" s="4" t="s">
        <v>9</v>
      </c>
      <c r="C25" s="7" t="s">
        <v>40</v>
      </c>
      <c r="D25" t="s">
        <v>47</v>
      </c>
      <c r="E25" t="s">
        <v>12</v>
      </c>
      <c r="F25" t="s">
        <v>13</v>
      </c>
      <c r="G25" s="3">
        <v>1</v>
      </c>
      <c r="H25" s="3"/>
      <c r="I25" t="s">
        <v>14</v>
      </c>
      <c r="J25" t="s">
        <v>20</v>
      </c>
      <c r="L25" s="42" t="s">
        <v>128</v>
      </c>
      <c r="M25" s="45">
        <f>SUMIF(タスク[概要],L25,タスク[作業工数])</f>
        <v>5</v>
      </c>
      <c r="N25" s="45">
        <f>SUMIFS(タスク[作業工数],タスク[概要],L25,タスク[ステータス],"完了")</f>
        <v>0</v>
      </c>
      <c r="O25" s="45">
        <f t="shared" si="0"/>
        <v>5</v>
      </c>
      <c r="P25" s="47">
        <f t="shared" si="1"/>
        <v>0</v>
      </c>
    </row>
    <row r="26" spans="2:16">
      <c r="B26" s="4" t="s">
        <v>9</v>
      </c>
      <c r="C26" s="7" t="s">
        <v>40</v>
      </c>
      <c r="D26" t="s">
        <v>48</v>
      </c>
      <c r="E26" t="s">
        <v>12</v>
      </c>
      <c r="F26" t="s">
        <v>13</v>
      </c>
      <c r="G26" s="3">
        <v>1</v>
      </c>
      <c r="H26" s="3"/>
      <c r="I26" t="s">
        <v>197</v>
      </c>
      <c r="J26" t="s">
        <v>204</v>
      </c>
      <c r="L26" s="43" t="s">
        <v>133</v>
      </c>
      <c r="M26" s="45">
        <f>SUMIF(タスク[概要],L26,タスク[作業工数])</f>
        <v>3.5</v>
      </c>
      <c r="N26" s="45">
        <f>SUMIFS(タスク[作業工数],タスク[概要],L26,タスク[ステータス],"完了")</f>
        <v>0</v>
      </c>
      <c r="O26" s="45">
        <f t="shared" si="0"/>
        <v>3.5</v>
      </c>
      <c r="P26" s="47">
        <f t="shared" si="1"/>
        <v>0</v>
      </c>
    </row>
    <row r="27" spans="2:16">
      <c r="B27" s="4" t="s">
        <v>9</v>
      </c>
      <c r="C27" s="7" t="s">
        <v>40</v>
      </c>
      <c r="D27" t="s">
        <v>49</v>
      </c>
      <c r="E27" t="s">
        <v>12</v>
      </c>
      <c r="F27" t="s">
        <v>13</v>
      </c>
      <c r="G27" s="3">
        <v>1</v>
      </c>
      <c r="H27" s="3"/>
      <c r="I27" t="s">
        <v>26</v>
      </c>
      <c r="J27" t="s">
        <v>27</v>
      </c>
      <c r="L27" s="44" t="s">
        <v>137</v>
      </c>
      <c r="M27" s="45">
        <f>SUMIF(タスク[概要],L27,タスク[作業工数])</f>
        <v>20</v>
      </c>
      <c r="N27" s="45">
        <f>SUMIFS(タスク[作業工数],タスク[概要],L27,タスク[ステータス],"完了")</f>
        <v>0</v>
      </c>
      <c r="O27" s="45">
        <f t="shared" si="0"/>
        <v>20</v>
      </c>
      <c r="P27" s="47">
        <f t="shared" si="1"/>
        <v>0</v>
      </c>
    </row>
    <row r="28" spans="2:16">
      <c r="B28" s="4" t="s">
        <v>9</v>
      </c>
      <c r="C28" s="8" t="s">
        <v>50</v>
      </c>
      <c r="D28" t="s">
        <v>51</v>
      </c>
      <c r="E28" t="s">
        <v>12</v>
      </c>
      <c r="F28" t="s">
        <v>13</v>
      </c>
      <c r="G28" s="3">
        <v>2</v>
      </c>
      <c r="H28" s="3"/>
      <c r="I28" t="s">
        <v>197</v>
      </c>
      <c r="J28" t="s">
        <v>205</v>
      </c>
    </row>
    <row r="29" spans="2:16">
      <c r="B29" s="4" t="s">
        <v>9</v>
      </c>
      <c r="C29" s="8" t="s">
        <v>50</v>
      </c>
      <c r="D29" t="s">
        <v>52</v>
      </c>
      <c r="E29" t="s">
        <v>12</v>
      </c>
      <c r="F29" t="s">
        <v>13</v>
      </c>
      <c r="G29" s="3">
        <v>1</v>
      </c>
      <c r="H29" s="3"/>
      <c r="I29" t="s">
        <v>206</v>
      </c>
      <c r="J29" t="s">
        <v>207</v>
      </c>
      <c r="L29" s="23" t="s">
        <v>7</v>
      </c>
      <c r="M29" s="23" t="s">
        <v>154</v>
      </c>
      <c r="N29" s="23" t="s">
        <v>155</v>
      </c>
    </row>
    <row r="30" spans="2:16">
      <c r="B30" s="4" t="s">
        <v>9</v>
      </c>
      <c r="C30" s="8" t="s">
        <v>50</v>
      </c>
      <c r="D30" t="s">
        <v>53</v>
      </c>
      <c r="E30" t="s">
        <v>12</v>
      </c>
      <c r="F30" t="s">
        <v>13</v>
      </c>
      <c r="G30" s="3">
        <v>1</v>
      </c>
      <c r="H30" s="3"/>
      <c r="I30" t="s">
        <v>26</v>
      </c>
      <c r="J30" t="s">
        <v>27</v>
      </c>
      <c r="L30" s="25" t="s">
        <v>26</v>
      </c>
      <c r="M30" s="25">
        <f>COUNTIF(タスク[ステータス],L30)</f>
        <v>66</v>
      </c>
      <c r="N30" s="45">
        <f>SUMIF(タスク[ステータス],L30,タスク[作業工数])</f>
        <v>102.2</v>
      </c>
    </row>
    <row r="31" spans="2:16">
      <c r="B31" s="4" t="s">
        <v>9</v>
      </c>
      <c r="C31" s="8" t="s">
        <v>50</v>
      </c>
      <c r="D31" t="s">
        <v>54</v>
      </c>
      <c r="E31" t="s">
        <v>12</v>
      </c>
      <c r="F31" t="s">
        <v>13</v>
      </c>
      <c r="G31" s="3">
        <v>1</v>
      </c>
      <c r="H31" s="3"/>
      <c r="I31" t="s">
        <v>206</v>
      </c>
      <c r="J31" t="s">
        <v>208</v>
      </c>
      <c r="L31" s="25" t="s">
        <v>34</v>
      </c>
      <c r="M31" s="25">
        <f>COUNTIF(タスク[ステータス],L31)</f>
        <v>7</v>
      </c>
      <c r="N31" s="45">
        <f>SUMIF(タスク[ステータス],L31,タスク[作業工数])</f>
        <v>9.5</v>
      </c>
    </row>
    <row r="32" spans="2:16">
      <c r="B32" s="4" t="s">
        <v>9</v>
      </c>
      <c r="C32" s="8" t="s">
        <v>50</v>
      </c>
      <c r="D32" t="s">
        <v>55</v>
      </c>
      <c r="E32" t="s">
        <v>12</v>
      </c>
      <c r="F32" t="s">
        <v>13</v>
      </c>
      <c r="G32" s="3">
        <v>1</v>
      </c>
      <c r="H32" s="3"/>
      <c r="I32" t="s">
        <v>26</v>
      </c>
      <c r="J32" t="s">
        <v>27</v>
      </c>
      <c r="L32" s="25" t="s">
        <v>14</v>
      </c>
      <c r="M32" s="25">
        <f>COUNTIF(タスク[ステータス],L32)</f>
        <v>32</v>
      </c>
      <c r="N32" s="45">
        <f>SUMIF(タスク[ステータス],L32,タスク[作業工数])</f>
        <v>42.2</v>
      </c>
    </row>
    <row r="33" spans="2:14">
      <c r="B33" s="4" t="s">
        <v>9</v>
      </c>
      <c r="C33" s="8" t="s">
        <v>50</v>
      </c>
      <c r="D33" t="s">
        <v>56</v>
      </c>
      <c r="E33" t="s">
        <v>12</v>
      </c>
      <c r="F33" t="s">
        <v>13</v>
      </c>
      <c r="G33" s="3">
        <v>1</v>
      </c>
      <c r="H33" s="3"/>
      <c r="I33" t="s">
        <v>26</v>
      </c>
      <c r="J33" t="s">
        <v>27</v>
      </c>
      <c r="L33" s="25" t="s">
        <v>156</v>
      </c>
      <c r="M33" s="25">
        <f>COUNTIF(タスク[ステータス],L33)</f>
        <v>0</v>
      </c>
      <c r="N33" s="45">
        <f>SUMIF(タスク[ステータス],L33,タスク[作業工数])</f>
        <v>0</v>
      </c>
    </row>
    <row r="34" spans="2:14">
      <c r="B34" s="4" t="s">
        <v>9</v>
      </c>
      <c r="C34" s="8" t="s">
        <v>50</v>
      </c>
      <c r="D34" t="s">
        <v>57</v>
      </c>
      <c r="E34" t="s">
        <v>12</v>
      </c>
      <c r="F34" t="s">
        <v>13</v>
      </c>
      <c r="G34" s="3">
        <v>1</v>
      </c>
      <c r="H34" s="3"/>
      <c r="I34" t="s">
        <v>26</v>
      </c>
      <c r="J34" t="s">
        <v>27</v>
      </c>
    </row>
    <row r="35" spans="2:14">
      <c r="B35" s="4" t="s">
        <v>9</v>
      </c>
      <c r="C35" s="8" t="s">
        <v>50</v>
      </c>
      <c r="D35" t="s">
        <v>58</v>
      </c>
      <c r="E35" t="s">
        <v>12</v>
      </c>
      <c r="F35" t="s">
        <v>13</v>
      </c>
      <c r="G35" s="3">
        <v>1</v>
      </c>
      <c r="H35" s="3"/>
      <c r="I35" t="s">
        <v>26</v>
      </c>
      <c r="J35" t="s">
        <v>27</v>
      </c>
      <c r="L35" s="20" t="s">
        <v>157</v>
      </c>
    </row>
    <row r="36" spans="2:14">
      <c r="B36" s="4" t="s">
        <v>9</v>
      </c>
      <c r="C36" s="8" t="s">
        <v>50</v>
      </c>
      <c r="D36" t="s">
        <v>59</v>
      </c>
      <c r="E36" t="s">
        <v>12</v>
      </c>
      <c r="F36" t="s">
        <v>13</v>
      </c>
      <c r="G36" s="3">
        <v>1</v>
      </c>
      <c r="H36" s="3"/>
      <c r="I36" t="s">
        <v>26</v>
      </c>
      <c r="J36" t="s">
        <v>27</v>
      </c>
      <c r="L36" s="50" t="s">
        <v>158</v>
      </c>
    </row>
    <row r="37" spans="2:14">
      <c r="B37" s="4" t="s">
        <v>9</v>
      </c>
      <c r="C37" s="8" t="s">
        <v>50</v>
      </c>
      <c r="D37" t="s">
        <v>60</v>
      </c>
      <c r="E37" t="s">
        <v>12</v>
      </c>
      <c r="F37" t="s">
        <v>13</v>
      </c>
      <c r="G37" s="3">
        <v>1</v>
      </c>
      <c r="H37" s="3"/>
      <c r="I37" t="s">
        <v>26</v>
      </c>
      <c r="J37" t="s">
        <v>27</v>
      </c>
      <c r="L37" s="50" t="s">
        <v>159</v>
      </c>
    </row>
    <row r="38" spans="2:14">
      <c r="B38" s="4" t="s">
        <v>9</v>
      </c>
      <c r="C38" s="8" t="s">
        <v>50</v>
      </c>
      <c r="D38" t="s">
        <v>61</v>
      </c>
      <c r="E38" t="s">
        <v>12</v>
      </c>
      <c r="F38" t="s">
        <v>13</v>
      </c>
      <c r="G38" s="3">
        <v>1</v>
      </c>
      <c r="H38" s="3"/>
      <c r="I38" t="s">
        <v>26</v>
      </c>
      <c r="J38" t="s">
        <v>27</v>
      </c>
      <c r="L38" s="50" t="s">
        <v>160</v>
      </c>
    </row>
    <row r="39" spans="2:14">
      <c r="B39" s="4" t="s">
        <v>9</v>
      </c>
      <c r="C39" s="8" t="s">
        <v>50</v>
      </c>
      <c r="D39" t="s">
        <v>62</v>
      </c>
      <c r="E39" t="s">
        <v>12</v>
      </c>
      <c r="F39" t="s">
        <v>13</v>
      </c>
      <c r="G39" s="3">
        <v>2</v>
      </c>
      <c r="H39" s="3"/>
      <c r="I39" t="s">
        <v>26</v>
      </c>
      <c r="J39" t="s">
        <v>27</v>
      </c>
      <c r="L39" s="50" t="s">
        <v>161</v>
      </c>
    </row>
    <row r="40" spans="2:14">
      <c r="B40" s="4" t="s">
        <v>9</v>
      </c>
      <c r="C40" s="8" t="s">
        <v>50</v>
      </c>
      <c r="D40" t="s">
        <v>63</v>
      </c>
      <c r="E40" t="s">
        <v>12</v>
      </c>
      <c r="F40" t="s">
        <v>13</v>
      </c>
      <c r="G40" s="3">
        <v>2</v>
      </c>
      <c r="H40" s="3"/>
      <c r="I40" t="s">
        <v>26</v>
      </c>
      <c r="J40" t="s">
        <v>27</v>
      </c>
      <c r="L40" s="50" t="s">
        <v>162</v>
      </c>
    </row>
    <row r="41" spans="2:14">
      <c r="B41" s="4" t="s">
        <v>9</v>
      </c>
      <c r="C41" s="8" t="s">
        <v>50</v>
      </c>
      <c r="D41" t="s">
        <v>64</v>
      </c>
      <c r="E41" t="s">
        <v>12</v>
      </c>
      <c r="F41" t="s">
        <v>13</v>
      </c>
      <c r="G41" s="3">
        <v>2</v>
      </c>
      <c r="H41" s="3"/>
      <c r="I41" t="s">
        <v>26</v>
      </c>
      <c r="J41" t="s">
        <v>27</v>
      </c>
      <c r="L41" s="50" t="s">
        <v>163</v>
      </c>
    </row>
    <row r="42" spans="2:14">
      <c r="B42" s="4" t="s">
        <v>9</v>
      </c>
      <c r="C42" s="8" t="s">
        <v>50</v>
      </c>
      <c r="D42" t="s">
        <v>65</v>
      </c>
      <c r="E42" t="s">
        <v>22</v>
      </c>
      <c r="F42" t="s">
        <v>38</v>
      </c>
      <c r="G42" s="3">
        <v>3</v>
      </c>
      <c r="H42" s="3"/>
      <c r="I42" t="s">
        <v>26</v>
      </c>
      <c r="J42" t="s">
        <v>39</v>
      </c>
    </row>
    <row r="43" spans="2:14">
      <c r="B43" s="4" t="s">
        <v>9</v>
      </c>
      <c r="C43" s="8" t="s">
        <v>50</v>
      </c>
      <c r="D43" t="s">
        <v>66</v>
      </c>
      <c r="E43" t="s">
        <v>22</v>
      </c>
      <c r="F43" t="s">
        <v>38</v>
      </c>
      <c r="G43" s="3">
        <v>3</v>
      </c>
      <c r="H43" s="3"/>
      <c r="I43" t="s">
        <v>26</v>
      </c>
      <c r="J43" t="s">
        <v>39</v>
      </c>
    </row>
    <row r="44" spans="2:14">
      <c r="B44" s="4" t="s">
        <v>9</v>
      </c>
      <c r="C44" s="9" t="s">
        <v>67</v>
      </c>
      <c r="D44" t="s">
        <v>68</v>
      </c>
      <c r="E44" t="s">
        <v>12</v>
      </c>
      <c r="F44" t="s">
        <v>13</v>
      </c>
      <c r="G44" s="3">
        <v>1</v>
      </c>
      <c r="H44" s="3"/>
      <c r="I44" t="s">
        <v>26</v>
      </c>
      <c r="J44" t="s">
        <v>27</v>
      </c>
    </row>
    <row r="45" spans="2:14">
      <c r="B45" s="4" t="s">
        <v>9</v>
      </c>
      <c r="C45" s="9" t="s">
        <v>67</v>
      </c>
      <c r="D45" t="s">
        <v>69</v>
      </c>
      <c r="E45" t="s">
        <v>12</v>
      </c>
      <c r="F45" t="s">
        <v>13</v>
      </c>
      <c r="G45" s="3">
        <v>1</v>
      </c>
      <c r="H45" s="3"/>
      <c r="I45" t="s">
        <v>26</v>
      </c>
      <c r="J45" t="s">
        <v>27</v>
      </c>
    </row>
    <row r="46" spans="2:14">
      <c r="B46" s="4" t="s">
        <v>9</v>
      </c>
      <c r="C46" s="9" t="s">
        <v>67</v>
      </c>
      <c r="D46" t="s">
        <v>70</v>
      </c>
      <c r="E46" t="s">
        <v>12</v>
      </c>
      <c r="F46" t="s">
        <v>13</v>
      </c>
      <c r="G46" s="3">
        <v>1.5</v>
      </c>
      <c r="H46" s="3"/>
      <c r="I46" t="s">
        <v>26</v>
      </c>
      <c r="J46" t="s">
        <v>39</v>
      </c>
    </row>
    <row r="47" spans="2:14">
      <c r="B47" s="4" t="s">
        <v>9</v>
      </c>
      <c r="C47" s="9" t="s">
        <v>67</v>
      </c>
      <c r="D47" t="s">
        <v>71</v>
      </c>
      <c r="E47" t="s">
        <v>12</v>
      </c>
      <c r="F47" t="s">
        <v>13</v>
      </c>
      <c r="G47" s="3">
        <v>0.5</v>
      </c>
      <c r="H47" s="3"/>
      <c r="I47" t="s">
        <v>26</v>
      </c>
      <c r="J47" t="s">
        <v>39</v>
      </c>
    </row>
    <row r="48" spans="2:14">
      <c r="B48" s="4" t="s">
        <v>9</v>
      </c>
      <c r="C48" s="9" t="s">
        <v>67</v>
      </c>
      <c r="D48" t="s">
        <v>72</v>
      </c>
      <c r="E48" t="s">
        <v>12</v>
      </c>
      <c r="F48" t="s">
        <v>13</v>
      </c>
      <c r="G48" s="3">
        <v>1</v>
      </c>
      <c r="H48" s="3"/>
      <c r="I48" t="s">
        <v>26</v>
      </c>
      <c r="J48" t="s">
        <v>39</v>
      </c>
    </row>
    <row r="49" spans="2:10">
      <c r="B49" s="4" t="s">
        <v>9</v>
      </c>
      <c r="C49" s="9" t="s">
        <v>67</v>
      </c>
      <c r="D49" t="s">
        <v>73</v>
      </c>
      <c r="E49" t="s">
        <v>22</v>
      </c>
      <c r="F49" t="s">
        <v>13</v>
      </c>
      <c r="G49" s="3">
        <v>1</v>
      </c>
      <c r="H49" s="3"/>
      <c r="I49" t="s">
        <v>26</v>
      </c>
      <c r="J49" t="s">
        <v>39</v>
      </c>
    </row>
    <row r="50" spans="2:10">
      <c r="B50" s="4" t="s">
        <v>9</v>
      </c>
      <c r="C50" s="9" t="s">
        <v>67</v>
      </c>
      <c r="D50" t="s">
        <v>74</v>
      </c>
      <c r="E50" t="s">
        <v>22</v>
      </c>
      <c r="F50" t="s">
        <v>38</v>
      </c>
      <c r="G50" s="3">
        <v>2</v>
      </c>
      <c r="H50" s="3"/>
      <c r="I50" t="s">
        <v>26</v>
      </c>
      <c r="J50" t="s">
        <v>39</v>
      </c>
    </row>
    <row r="51" spans="2:10">
      <c r="B51" s="4" t="s">
        <v>9</v>
      </c>
      <c r="C51" s="9" t="s">
        <v>67</v>
      </c>
      <c r="D51" t="s">
        <v>75</v>
      </c>
      <c r="E51" t="s">
        <v>22</v>
      </c>
      <c r="F51" t="s">
        <v>38</v>
      </c>
      <c r="G51" s="3">
        <v>1</v>
      </c>
      <c r="H51" s="3"/>
      <c r="I51" t="s">
        <v>26</v>
      </c>
      <c r="J51" t="s">
        <v>39</v>
      </c>
    </row>
    <row r="52" spans="2:10">
      <c r="B52" s="4" t="s">
        <v>9</v>
      </c>
      <c r="C52" s="10" t="s">
        <v>76</v>
      </c>
      <c r="D52" t="s">
        <v>77</v>
      </c>
      <c r="E52" t="s">
        <v>12</v>
      </c>
      <c r="F52" t="s">
        <v>13</v>
      </c>
      <c r="G52" s="3">
        <v>1</v>
      </c>
      <c r="H52" s="3"/>
      <c r="I52" t="s">
        <v>197</v>
      </c>
      <c r="J52" t="s">
        <v>209</v>
      </c>
    </row>
    <row r="53" spans="2:10">
      <c r="B53" s="4" t="s">
        <v>9</v>
      </c>
      <c r="C53" s="10" t="s">
        <v>76</v>
      </c>
      <c r="D53" t="s">
        <v>78</v>
      </c>
      <c r="E53" t="s">
        <v>12</v>
      </c>
      <c r="F53" t="s">
        <v>13</v>
      </c>
      <c r="G53" s="3">
        <v>1</v>
      </c>
      <c r="H53" s="3"/>
      <c r="I53" t="s">
        <v>197</v>
      </c>
      <c r="J53" t="s">
        <v>210</v>
      </c>
    </row>
    <row r="54" spans="2:10">
      <c r="B54" s="4" t="s">
        <v>9</v>
      </c>
      <c r="C54" s="10" t="s">
        <v>76</v>
      </c>
      <c r="D54" t="s">
        <v>79</v>
      </c>
      <c r="E54" t="s">
        <v>12</v>
      </c>
      <c r="F54" t="s">
        <v>13</v>
      </c>
      <c r="G54" s="3">
        <v>1</v>
      </c>
      <c r="H54" s="3"/>
      <c r="I54" t="s">
        <v>197</v>
      </c>
      <c r="J54" t="s">
        <v>210</v>
      </c>
    </row>
    <row r="55" spans="2:10">
      <c r="B55" s="4" t="s">
        <v>9</v>
      </c>
      <c r="C55" s="10" t="s">
        <v>76</v>
      </c>
      <c r="D55" t="s">
        <v>80</v>
      </c>
      <c r="E55" t="s">
        <v>12</v>
      </c>
      <c r="F55" t="s">
        <v>13</v>
      </c>
      <c r="G55" s="3">
        <v>1.5</v>
      </c>
      <c r="H55" s="3"/>
      <c r="I55" t="s">
        <v>197</v>
      </c>
      <c r="J55" t="s">
        <v>210</v>
      </c>
    </row>
    <row r="56" spans="2:10">
      <c r="B56" s="4" t="s">
        <v>9</v>
      </c>
      <c r="C56" s="10" t="s">
        <v>76</v>
      </c>
      <c r="D56" t="s">
        <v>81</v>
      </c>
      <c r="E56" t="s">
        <v>12</v>
      </c>
      <c r="F56" t="s">
        <v>13</v>
      </c>
      <c r="G56" s="3">
        <v>1</v>
      </c>
      <c r="H56" s="3"/>
      <c r="I56" t="s">
        <v>197</v>
      </c>
      <c r="J56" t="s">
        <v>211</v>
      </c>
    </row>
    <row r="57" spans="2:10">
      <c r="B57" s="4" t="s">
        <v>9</v>
      </c>
      <c r="C57" s="10" t="s">
        <v>76</v>
      </c>
      <c r="D57" t="s">
        <v>82</v>
      </c>
      <c r="E57" t="s">
        <v>12</v>
      </c>
      <c r="F57" t="s">
        <v>13</v>
      </c>
      <c r="G57" s="3">
        <v>1</v>
      </c>
      <c r="H57" s="3"/>
      <c r="I57" t="s">
        <v>197</v>
      </c>
      <c r="J57" t="s">
        <v>212</v>
      </c>
    </row>
    <row r="58" spans="2:10">
      <c r="B58" s="4" t="s">
        <v>9</v>
      </c>
      <c r="C58" s="10" t="s">
        <v>76</v>
      </c>
      <c r="D58" t="s">
        <v>83</v>
      </c>
      <c r="E58" t="s">
        <v>12</v>
      </c>
      <c r="F58" t="s">
        <v>13</v>
      </c>
      <c r="G58" s="3">
        <v>1</v>
      </c>
      <c r="H58" s="3"/>
      <c r="I58" t="s">
        <v>197</v>
      </c>
      <c r="J58" t="s">
        <v>213</v>
      </c>
    </row>
    <row r="59" spans="2:10">
      <c r="B59" s="4" t="s">
        <v>9</v>
      </c>
      <c r="C59" s="10" t="s">
        <v>76</v>
      </c>
      <c r="D59" t="s">
        <v>84</v>
      </c>
      <c r="E59" t="s">
        <v>12</v>
      </c>
      <c r="F59" t="s">
        <v>13</v>
      </c>
      <c r="G59" s="3">
        <v>1.5</v>
      </c>
      <c r="H59" s="3"/>
      <c r="I59" t="s">
        <v>26</v>
      </c>
      <c r="J59" t="s">
        <v>27</v>
      </c>
    </row>
    <row r="60" spans="2:10">
      <c r="B60" s="4" t="s">
        <v>9</v>
      </c>
      <c r="C60" s="10" t="s">
        <v>76</v>
      </c>
      <c r="D60" t="s">
        <v>85</v>
      </c>
      <c r="E60" t="s">
        <v>22</v>
      </c>
      <c r="F60" t="s">
        <v>13</v>
      </c>
      <c r="G60" s="3">
        <v>0.5</v>
      </c>
      <c r="H60" s="3"/>
      <c r="I60" t="s">
        <v>197</v>
      </c>
      <c r="J60" t="s">
        <v>214</v>
      </c>
    </row>
    <row r="61" spans="2:10">
      <c r="B61" s="4" t="s">
        <v>9</v>
      </c>
      <c r="C61" s="80" t="s">
        <v>86</v>
      </c>
      <c r="D61" t="s">
        <v>216</v>
      </c>
      <c r="E61" t="s">
        <v>12</v>
      </c>
      <c r="F61" t="s">
        <v>13</v>
      </c>
      <c r="G61" s="3">
        <v>1</v>
      </c>
      <c r="H61" s="3"/>
      <c r="I61" t="s">
        <v>34</v>
      </c>
      <c r="J61" t="s">
        <v>217</v>
      </c>
    </row>
    <row r="62" spans="2:10">
      <c r="B62" s="4" t="s">
        <v>9</v>
      </c>
      <c r="C62" s="11" t="s">
        <v>86</v>
      </c>
      <c r="D62" t="s">
        <v>87</v>
      </c>
      <c r="E62" t="s">
        <v>12</v>
      </c>
      <c r="F62" t="s">
        <v>13</v>
      </c>
      <c r="G62" s="3">
        <v>1</v>
      </c>
      <c r="H62" s="3"/>
      <c r="I62" t="s">
        <v>26</v>
      </c>
      <c r="J62" t="s">
        <v>39</v>
      </c>
    </row>
    <row r="63" spans="2:10">
      <c r="B63" s="4" t="s">
        <v>9</v>
      </c>
      <c r="C63" s="11" t="s">
        <v>86</v>
      </c>
      <c r="D63" t="s">
        <v>88</v>
      </c>
      <c r="E63" t="s">
        <v>12</v>
      </c>
      <c r="F63" t="s">
        <v>38</v>
      </c>
      <c r="G63" s="3">
        <v>2</v>
      </c>
      <c r="H63" s="3"/>
      <c r="I63" t="s">
        <v>26</v>
      </c>
      <c r="J63" t="s">
        <v>39</v>
      </c>
    </row>
    <row r="64" spans="2:10">
      <c r="B64" s="4" t="s">
        <v>9</v>
      </c>
      <c r="C64" s="11" t="s">
        <v>86</v>
      </c>
      <c r="D64" t="s">
        <v>89</v>
      </c>
      <c r="E64" t="s">
        <v>22</v>
      </c>
      <c r="F64" t="s">
        <v>38</v>
      </c>
      <c r="G64" s="3">
        <v>1</v>
      </c>
      <c r="H64" s="3"/>
      <c r="I64" t="s">
        <v>26</v>
      </c>
      <c r="J64" t="s">
        <v>39</v>
      </c>
    </row>
    <row r="65" spans="2:10">
      <c r="B65" s="4" t="s">
        <v>9</v>
      </c>
      <c r="C65" s="11" t="s">
        <v>86</v>
      </c>
      <c r="D65" t="s">
        <v>90</v>
      </c>
      <c r="E65" t="s">
        <v>22</v>
      </c>
      <c r="F65" t="s">
        <v>38</v>
      </c>
      <c r="G65" s="3">
        <v>1.5</v>
      </c>
      <c r="H65" s="3"/>
      <c r="I65" t="s">
        <v>26</v>
      </c>
      <c r="J65" t="s">
        <v>39</v>
      </c>
    </row>
    <row r="66" spans="2:10">
      <c r="B66" s="4" t="s">
        <v>9</v>
      </c>
      <c r="C66" s="11" t="s">
        <v>86</v>
      </c>
      <c r="D66" t="s">
        <v>91</v>
      </c>
      <c r="E66" t="s">
        <v>22</v>
      </c>
      <c r="F66" t="s">
        <v>38</v>
      </c>
      <c r="G66" s="3">
        <v>1</v>
      </c>
      <c r="H66" s="3"/>
      <c r="I66" t="s">
        <v>26</v>
      </c>
      <c r="J66" t="s">
        <v>39</v>
      </c>
    </row>
    <row r="67" spans="2:10">
      <c r="B67" s="4" t="s">
        <v>9</v>
      </c>
      <c r="C67" s="12" t="s">
        <v>92</v>
      </c>
      <c r="D67" t="s">
        <v>93</v>
      </c>
      <c r="E67" t="s">
        <v>12</v>
      </c>
      <c r="F67" t="s">
        <v>13</v>
      </c>
      <c r="G67" s="3">
        <v>2</v>
      </c>
      <c r="H67" s="3"/>
      <c r="I67" t="s">
        <v>14</v>
      </c>
      <c r="J67" t="s">
        <v>15</v>
      </c>
    </row>
    <row r="68" spans="2:10">
      <c r="B68" s="4" t="s">
        <v>9</v>
      </c>
      <c r="C68" s="12" t="s">
        <v>92</v>
      </c>
      <c r="D68" t="s">
        <v>94</v>
      </c>
      <c r="E68" t="s">
        <v>12</v>
      </c>
      <c r="F68" t="s">
        <v>13</v>
      </c>
      <c r="G68" s="3">
        <v>1</v>
      </c>
      <c r="H68" s="3"/>
      <c r="I68" t="s">
        <v>26</v>
      </c>
      <c r="J68" t="s">
        <v>27</v>
      </c>
    </row>
    <row r="69" spans="2:10">
      <c r="B69" s="4" t="s">
        <v>9</v>
      </c>
      <c r="C69" s="12" t="s">
        <v>92</v>
      </c>
      <c r="D69" t="s">
        <v>95</v>
      </c>
      <c r="E69" t="s">
        <v>12</v>
      </c>
      <c r="F69" t="s">
        <v>13</v>
      </c>
      <c r="G69" s="3">
        <v>1</v>
      </c>
      <c r="H69" s="3"/>
      <c r="I69" t="s">
        <v>26</v>
      </c>
      <c r="J69" t="s">
        <v>27</v>
      </c>
    </row>
    <row r="70" spans="2:10">
      <c r="B70" s="4" t="s">
        <v>9</v>
      </c>
      <c r="C70" s="12" t="s">
        <v>92</v>
      </c>
      <c r="D70" t="s">
        <v>96</v>
      </c>
      <c r="E70" t="s">
        <v>12</v>
      </c>
      <c r="F70" t="s">
        <v>13</v>
      </c>
      <c r="G70" s="3">
        <v>1</v>
      </c>
      <c r="H70" s="3"/>
      <c r="I70" t="s">
        <v>26</v>
      </c>
      <c r="J70" t="s">
        <v>27</v>
      </c>
    </row>
    <row r="71" spans="2:10">
      <c r="B71" s="4" t="s">
        <v>9</v>
      </c>
      <c r="C71" s="12" t="s">
        <v>92</v>
      </c>
      <c r="D71" t="s">
        <v>97</v>
      </c>
      <c r="E71" t="s">
        <v>12</v>
      </c>
      <c r="F71" t="s">
        <v>13</v>
      </c>
      <c r="G71" s="3">
        <v>2</v>
      </c>
      <c r="H71" s="3"/>
      <c r="I71" t="s">
        <v>26</v>
      </c>
      <c r="J71" t="s">
        <v>27</v>
      </c>
    </row>
    <row r="72" spans="2:10">
      <c r="B72" s="4" t="s">
        <v>9</v>
      </c>
      <c r="C72" s="12" t="s">
        <v>92</v>
      </c>
      <c r="D72" t="s">
        <v>98</v>
      </c>
      <c r="E72" t="s">
        <v>12</v>
      </c>
      <c r="F72" t="s">
        <v>13</v>
      </c>
      <c r="G72" s="3">
        <v>2</v>
      </c>
      <c r="H72" s="3"/>
      <c r="I72" t="s">
        <v>26</v>
      </c>
      <c r="J72" t="s">
        <v>27</v>
      </c>
    </row>
    <row r="73" spans="2:10">
      <c r="B73" s="4" t="s">
        <v>9</v>
      </c>
      <c r="C73" s="12" t="s">
        <v>92</v>
      </c>
      <c r="D73" t="s">
        <v>99</v>
      </c>
      <c r="E73" t="s">
        <v>22</v>
      </c>
      <c r="F73" t="s">
        <v>38</v>
      </c>
      <c r="G73" s="3">
        <v>3</v>
      </c>
      <c r="H73" s="3"/>
      <c r="I73" t="s">
        <v>26</v>
      </c>
      <c r="J73" t="s">
        <v>27</v>
      </c>
    </row>
    <row r="74" spans="2:10">
      <c r="B74" s="4" t="s">
        <v>9</v>
      </c>
      <c r="C74" s="12" t="s">
        <v>92</v>
      </c>
      <c r="D74" t="s">
        <v>100</v>
      </c>
      <c r="E74" t="s">
        <v>22</v>
      </c>
      <c r="F74" t="s">
        <v>38</v>
      </c>
      <c r="G74" s="3">
        <v>3</v>
      </c>
      <c r="H74" s="3"/>
      <c r="I74" t="s">
        <v>26</v>
      </c>
      <c r="J74" t="s">
        <v>27</v>
      </c>
    </row>
    <row r="75" spans="2:10">
      <c r="B75" s="4" t="s">
        <v>9</v>
      </c>
      <c r="C75" s="13" t="s">
        <v>101</v>
      </c>
      <c r="D75" t="s">
        <v>102</v>
      </c>
      <c r="E75" t="s">
        <v>12</v>
      </c>
      <c r="F75" t="s">
        <v>13</v>
      </c>
      <c r="G75" s="3">
        <v>1</v>
      </c>
      <c r="H75" s="3"/>
      <c r="I75" t="s">
        <v>34</v>
      </c>
      <c r="J75" t="s">
        <v>39</v>
      </c>
    </row>
    <row r="76" spans="2:10">
      <c r="B76" s="4" t="s">
        <v>9</v>
      </c>
      <c r="C76" s="13" t="s">
        <v>101</v>
      </c>
      <c r="D76" t="s">
        <v>103</v>
      </c>
      <c r="E76" t="s">
        <v>12</v>
      </c>
      <c r="F76" t="s">
        <v>38</v>
      </c>
      <c r="G76" s="3">
        <v>0.5</v>
      </c>
      <c r="H76" s="3"/>
      <c r="I76" t="s">
        <v>34</v>
      </c>
      <c r="J76" t="s">
        <v>27</v>
      </c>
    </row>
    <row r="77" spans="2:10">
      <c r="B77" s="4" t="s">
        <v>9</v>
      </c>
      <c r="C77" s="13" t="s">
        <v>101</v>
      </c>
      <c r="D77" t="s">
        <v>104</v>
      </c>
      <c r="E77" t="s">
        <v>12</v>
      </c>
      <c r="F77" t="s">
        <v>38</v>
      </c>
      <c r="G77" s="3">
        <v>2</v>
      </c>
      <c r="H77" s="3"/>
      <c r="I77" t="s">
        <v>26</v>
      </c>
      <c r="J77" t="s">
        <v>27</v>
      </c>
    </row>
    <row r="78" spans="2:10">
      <c r="B78" s="4" t="s">
        <v>9</v>
      </c>
      <c r="C78" s="13" t="s">
        <v>101</v>
      </c>
      <c r="D78" t="s">
        <v>105</v>
      </c>
      <c r="E78" t="s">
        <v>22</v>
      </c>
      <c r="F78" t="s">
        <v>38</v>
      </c>
      <c r="G78" s="3">
        <v>1.5</v>
      </c>
      <c r="H78" s="3"/>
      <c r="I78" t="s">
        <v>26</v>
      </c>
      <c r="J78" t="s">
        <v>39</v>
      </c>
    </row>
    <row r="79" spans="2:10">
      <c r="B79" s="4" t="s">
        <v>9</v>
      </c>
      <c r="C79" s="13" t="s">
        <v>101</v>
      </c>
      <c r="D79" t="s">
        <v>106</v>
      </c>
      <c r="E79" t="s">
        <v>24</v>
      </c>
      <c r="F79" t="s">
        <v>107</v>
      </c>
      <c r="G79" s="3">
        <v>1</v>
      </c>
      <c r="H79" s="3"/>
      <c r="I79" t="s">
        <v>26</v>
      </c>
      <c r="J79" t="s">
        <v>39</v>
      </c>
    </row>
    <row r="80" spans="2:10">
      <c r="B80" s="4" t="s">
        <v>9</v>
      </c>
      <c r="C80" s="14" t="s">
        <v>108</v>
      </c>
      <c r="D80" t="s">
        <v>109</v>
      </c>
      <c r="E80" t="s">
        <v>12</v>
      </c>
      <c r="F80" t="s">
        <v>38</v>
      </c>
      <c r="G80" s="3">
        <v>1</v>
      </c>
      <c r="H80" s="3"/>
      <c r="I80" t="s">
        <v>26</v>
      </c>
      <c r="J80" t="s">
        <v>39</v>
      </c>
    </row>
    <row r="81" spans="2:10">
      <c r="B81" s="4" t="s">
        <v>9</v>
      </c>
      <c r="C81" s="14" t="s">
        <v>108</v>
      </c>
      <c r="D81" t="s">
        <v>110</v>
      </c>
      <c r="E81" t="s">
        <v>22</v>
      </c>
      <c r="F81" t="s">
        <v>38</v>
      </c>
      <c r="G81" s="3">
        <v>1</v>
      </c>
      <c r="H81" s="3"/>
      <c r="I81" t="s">
        <v>26</v>
      </c>
      <c r="J81" t="s">
        <v>39</v>
      </c>
    </row>
    <row r="82" spans="2:10">
      <c r="B82" s="4" t="s">
        <v>9</v>
      </c>
      <c r="C82" s="14" t="s">
        <v>108</v>
      </c>
      <c r="D82" t="s">
        <v>111</v>
      </c>
      <c r="E82" t="s">
        <v>22</v>
      </c>
      <c r="F82" t="s">
        <v>38</v>
      </c>
      <c r="G82" s="3">
        <v>0.5</v>
      </c>
      <c r="H82" s="3"/>
      <c r="I82" t="s">
        <v>26</v>
      </c>
      <c r="J82" t="s">
        <v>39</v>
      </c>
    </row>
    <row r="83" spans="2:10">
      <c r="B83" s="4" t="s">
        <v>9</v>
      </c>
      <c r="C83" s="14" t="s">
        <v>108</v>
      </c>
      <c r="D83" t="s">
        <v>112</v>
      </c>
      <c r="E83" t="s">
        <v>22</v>
      </c>
      <c r="F83" t="s">
        <v>38</v>
      </c>
      <c r="G83" s="3">
        <v>1</v>
      </c>
      <c r="H83" s="3"/>
      <c r="I83" t="s">
        <v>26</v>
      </c>
      <c r="J83" t="s">
        <v>39</v>
      </c>
    </row>
    <row r="84" spans="2:10">
      <c r="B84" s="4" t="s">
        <v>9</v>
      </c>
      <c r="C84" s="14" t="s">
        <v>108</v>
      </c>
      <c r="D84" t="s">
        <v>113</v>
      </c>
      <c r="E84" t="s">
        <v>24</v>
      </c>
      <c r="F84" t="s">
        <v>107</v>
      </c>
      <c r="G84" s="3">
        <v>0.5</v>
      </c>
      <c r="H84" s="3"/>
      <c r="I84" t="s">
        <v>26</v>
      </c>
      <c r="J84" t="s">
        <v>39</v>
      </c>
    </row>
    <row r="85" spans="2:10">
      <c r="B85" s="4" t="s">
        <v>9</v>
      </c>
      <c r="C85" s="14" t="s">
        <v>108</v>
      </c>
      <c r="D85" t="s">
        <v>114</v>
      </c>
      <c r="E85" t="s">
        <v>24</v>
      </c>
      <c r="F85" t="s">
        <v>107</v>
      </c>
      <c r="G85" s="3">
        <v>1</v>
      </c>
      <c r="H85" s="3"/>
      <c r="I85" t="s">
        <v>26</v>
      </c>
      <c r="J85" t="s">
        <v>39</v>
      </c>
    </row>
    <row r="86" spans="2:10">
      <c r="B86" s="4" t="s">
        <v>9</v>
      </c>
      <c r="C86" s="15" t="s">
        <v>115</v>
      </c>
      <c r="D86" t="s">
        <v>116</v>
      </c>
      <c r="E86" t="s">
        <v>22</v>
      </c>
      <c r="F86" t="s">
        <v>38</v>
      </c>
      <c r="G86" s="3">
        <v>3</v>
      </c>
      <c r="H86" s="3"/>
      <c r="I86" t="s">
        <v>26</v>
      </c>
      <c r="J86" t="s">
        <v>117</v>
      </c>
    </row>
    <row r="87" spans="2:10">
      <c r="B87" s="4" t="s">
        <v>9</v>
      </c>
      <c r="C87" s="15" t="s">
        <v>115</v>
      </c>
      <c r="D87" t="s">
        <v>118</v>
      </c>
      <c r="E87" t="s">
        <v>22</v>
      </c>
      <c r="F87" t="s">
        <v>38</v>
      </c>
      <c r="G87" s="3">
        <v>3</v>
      </c>
      <c r="H87" s="3"/>
      <c r="I87" t="s">
        <v>26</v>
      </c>
      <c r="J87" t="s">
        <v>117</v>
      </c>
    </row>
    <row r="88" spans="2:10">
      <c r="B88" s="4" t="s">
        <v>9</v>
      </c>
      <c r="C88" s="16" t="s">
        <v>119</v>
      </c>
      <c r="D88" t="s">
        <v>120</v>
      </c>
      <c r="E88" t="s">
        <v>12</v>
      </c>
      <c r="F88" t="s">
        <v>13</v>
      </c>
      <c r="G88" s="3">
        <v>1</v>
      </c>
      <c r="H88" s="3"/>
      <c r="I88" t="s">
        <v>14</v>
      </c>
      <c r="J88" t="s">
        <v>121</v>
      </c>
    </row>
    <row r="89" spans="2:10">
      <c r="B89" s="4" t="s">
        <v>9</v>
      </c>
      <c r="C89" s="16" t="s">
        <v>119</v>
      </c>
      <c r="D89" t="s">
        <v>122</v>
      </c>
      <c r="E89" t="s">
        <v>12</v>
      </c>
      <c r="F89" t="s">
        <v>13</v>
      </c>
      <c r="G89" s="3">
        <v>3</v>
      </c>
      <c r="H89" s="3"/>
      <c r="I89" t="s">
        <v>206</v>
      </c>
      <c r="J89" t="s">
        <v>215</v>
      </c>
    </row>
    <row r="90" spans="2:10">
      <c r="B90" s="4" t="s">
        <v>9</v>
      </c>
      <c r="C90" s="16" t="s">
        <v>119</v>
      </c>
      <c r="D90" t="s">
        <v>123</v>
      </c>
      <c r="E90" t="s">
        <v>12</v>
      </c>
      <c r="F90" t="s">
        <v>13</v>
      </c>
      <c r="G90" s="3">
        <v>1.5</v>
      </c>
      <c r="H90" s="3"/>
      <c r="I90" t="s">
        <v>26</v>
      </c>
      <c r="J90" t="s">
        <v>39</v>
      </c>
    </row>
    <row r="91" spans="2:10">
      <c r="B91" s="4" t="s">
        <v>9</v>
      </c>
      <c r="C91" s="16" t="s">
        <v>119</v>
      </c>
      <c r="D91" t="s">
        <v>124</v>
      </c>
      <c r="E91" t="s">
        <v>22</v>
      </c>
      <c r="F91" t="s">
        <v>38</v>
      </c>
      <c r="G91" s="3">
        <v>1</v>
      </c>
      <c r="H91" s="3"/>
      <c r="I91" t="s">
        <v>26</v>
      </c>
      <c r="J91" t="s">
        <v>39</v>
      </c>
    </row>
    <row r="92" spans="2:10">
      <c r="B92" s="4" t="s">
        <v>9</v>
      </c>
      <c r="C92" s="16" t="s">
        <v>119</v>
      </c>
      <c r="D92" t="s">
        <v>125</v>
      </c>
      <c r="E92" t="s">
        <v>22</v>
      </c>
      <c r="F92" t="s">
        <v>38</v>
      </c>
      <c r="G92" s="3">
        <v>1</v>
      </c>
      <c r="H92" s="3"/>
      <c r="I92" t="s">
        <v>26</v>
      </c>
      <c r="J92" t="s">
        <v>39</v>
      </c>
    </row>
    <row r="93" spans="2:10">
      <c r="B93" s="4" t="s">
        <v>9</v>
      </c>
      <c r="C93" s="16" t="s">
        <v>119</v>
      </c>
      <c r="D93" t="s">
        <v>126</v>
      </c>
      <c r="E93" t="s">
        <v>22</v>
      </c>
      <c r="F93" t="s">
        <v>38</v>
      </c>
      <c r="G93" s="3">
        <v>1</v>
      </c>
      <c r="H93" s="3"/>
      <c r="I93" t="s">
        <v>26</v>
      </c>
      <c r="J93" t="s">
        <v>39</v>
      </c>
    </row>
    <row r="94" spans="2:10">
      <c r="B94" s="4" t="s">
        <v>9</v>
      </c>
      <c r="C94" s="16" t="s">
        <v>119</v>
      </c>
      <c r="D94" t="s">
        <v>127</v>
      </c>
      <c r="E94" t="s">
        <v>22</v>
      </c>
      <c r="F94" t="s">
        <v>38</v>
      </c>
      <c r="G94" s="3">
        <v>0.5</v>
      </c>
      <c r="H94" s="3"/>
      <c r="I94" t="s">
        <v>26</v>
      </c>
      <c r="J94" t="s">
        <v>39</v>
      </c>
    </row>
    <row r="95" spans="2:10">
      <c r="B95" s="4" t="s">
        <v>9</v>
      </c>
      <c r="C95" s="17" t="s">
        <v>128</v>
      </c>
      <c r="D95" t="s">
        <v>129</v>
      </c>
      <c r="E95" t="s">
        <v>22</v>
      </c>
      <c r="F95" t="s">
        <v>38</v>
      </c>
      <c r="G95" s="3">
        <v>1.5</v>
      </c>
      <c r="H95" s="3"/>
      <c r="I95" t="s">
        <v>26</v>
      </c>
      <c r="J95" t="s">
        <v>39</v>
      </c>
    </row>
    <row r="96" spans="2:10">
      <c r="B96" s="4" t="s">
        <v>9</v>
      </c>
      <c r="C96" s="17" t="s">
        <v>128</v>
      </c>
      <c r="D96" t="s">
        <v>130</v>
      </c>
      <c r="E96" t="s">
        <v>22</v>
      </c>
      <c r="F96" t="s">
        <v>38</v>
      </c>
      <c r="G96" s="3">
        <v>1</v>
      </c>
      <c r="H96" s="3"/>
      <c r="I96" t="s">
        <v>26</v>
      </c>
      <c r="J96" t="s">
        <v>39</v>
      </c>
    </row>
    <row r="97" spans="2:10">
      <c r="B97" s="4" t="s">
        <v>9</v>
      </c>
      <c r="C97" s="17" t="s">
        <v>128</v>
      </c>
      <c r="D97" t="s">
        <v>131</v>
      </c>
      <c r="E97" t="s">
        <v>22</v>
      </c>
      <c r="F97" t="s">
        <v>38</v>
      </c>
      <c r="G97" s="3">
        <v>0.5</v>
      </c>
      <c r="H97" s="3"/>
      <c r="I97" t="s">
        <v>26</v>
      </c>
      <c r="J97" t="s">
        <v>39</v>
      </c>
    </row>
    <row r="98" spans="2:10">
      <c r="B98" s="4" t="s">
        <v>9</v>
      </c>
      <c r="C98" s="17" t="s">
        <v>128</v>
      </c>
      <c r="D98" t="s">
        <v>132</v>
      </c>
      <c r="E98" t="s">
        <v>24</v>
      </c>
      <c r="F98" t="s">
        <v>38</v>
      </c>
      <c r="G98" s="3">
        <v>2</v>
      </c>
      <c r="H98" s="3"/>
      <c r="I98" t="s">
        <v>26</v>
      </c>
      <c r="J98" t="s">
        <v>39</v>
      </c>
    </row>
    <row r="99" spans="2:10">
      <c r="B99" s="4" t="s">
        <v>9</v>
      </c>
      <c r="C99" s="18" t="s">
        <v>133</v>
      </c>
      <c r="D99" t="s">
        <v>134</v>
      </c>
      <c r="E99" t="s">
        <v>22</v>
      </c>
      <c r="F99" t="s">
        <v>38</v>
      </c>
      <c r="G99" s="3">
        <v>1</v>
      </c>
      <c r="H99" s="3"/>
      <c r="I99" t="s">
        <v>26</v>
      </c>
      <c r="J99" t="s">
        <v>39</v>
      </c>
    </row>
    <row r="100" spans="2:10">
      <c r="B100" s="4" t="s">
        <v>9</v>
      </c>
      <c r="C100" s="18" t="s">
        <v>133</v>
      </c>
      <c r="D100" t="s">
        <v>135</v>
      </c>
      <c r="E100" t="s">
        <v>22</v>
      </c>
      <c r="F100" t="s">
        <v>38</v>
      </c>
      <c r="G100" s="3">
        <v>1.5</v>
      </c>
      <c r="H100" s="3"/>
      <c r="I100" t="s">
        <v>26</v>
      </c>
      <c r="J100" t="s">
        <v>39</v>
      </c>
    </row>
    <row r="101" spans="2:10">
      <c r="B101" s="4" t="s">
        <v>9</v>
      </c>
      <c r="C101" s="18" t="s">
        <v>133</v>
      </c>
      <c r="D101" t="s">
        <v>136</v>
      </c>
      <c r="E101" t="s">
        <v>22</v>
      </c>
      <c r="F101" t="s">
        <v>107</v>
      </c>
      <c r="G101" s="3">
        <v>1</v>
      </c>
      <c r="H101" s="3"/>
      <c r="I101" t="s">
        <v>26</v>
      </c>
      <c r="J101" t="s">
        <v>39</v>
      </c>
    </row>
    <row r="102" spans="2:10">
      <c r="B102" s="4" t="s">
        <v>9</v>
      </c>
      <c r="C102" s="19" t="s">
        <v>137</v>
      </c>
      <c r="D102" t="s">
        <v>138</v>
      </c>
      <c r="E102" t="s">
        <v>22</v>
      </c>
      <c r="F102" t="s">
        <v>107</v>
      </c>
      <c r="G102" s="3">
        <v>4</v>
      </c>
      <c r="H102" s="3"/>
      <c r="I102" t="s">
        <v>26</v>
      </c>
      <c r="J102" t="s">
        <v>39</v>
      </c>
    </row>
    <row r="103" spans="2:10">
      <c r="B103" s="4" t="s">
        <v>9</v>
      </c>
      <c r="C103" s="19" t="s">
        <v>137</v>
      </c>
      <c r="D103" t="s">
        <v>139</v>
      </c>
      <c r="E103" t="s">
        <v>22</v>
      </c>
      <c r="F103" t="s">
        <v>107</v>
      </c>
      <c r="G103" s="3">
        <v>3</v>
      </c>
      <c r="H103" s="3"/>
      <c r="I103" t="s">
        <v>26</v>
      </c>
      <c r="J103" t="s">
        <v>39</v>
      </c>
    </row>
    <row r="104" spans="2:10">
      <c r="B104" s="4" t="s">
        <v>9</v>
      </c>
      <c r="C104" s="19" t="s">
        <v>137</v>
      </c>
      <c r="D104" t="s">
        <v>140</v>
      </c>
      <c r="E104" t="s">
        <v>12</v>
      </c>
      <c r="F104" t="s">
        <v>107</v>
      </c>
      <c r="G104" s="3">
        <v>4</v>
      </c>
      <c r="H104" s="3"/>
      <c r="I104" t="s">
        <v>26</v>
      </c>
      <c r="J104" t="s">
        <v>39</v>
      </c>
    </row>
    <row r="105" spans="2:10">
      <c r="B105" s="4" t="s">
        <v>9</v>
      </c>
      <c r="C105" s="19" t="s">
        <v>137</v>
      </c>
      <c r="D105" t="s">
        <v>141</v>
      </c>
      <c r="E105" t="s">
        <v>12</v>
      </c>
      <c r="F105" t="s">
        <v>142</v>
      </c>
      <c r="G105" s="3">
        <v>4</v>
      </c>
      <c r="H105" s="3"/>
      <c r="I105" t="s">
        <v>26</v>
      </c>
      <c r="J105" t="s">
        <v>39</v>
      </c>
    </row>
    <row r="106" spans="2:10">
      <c r="B106" s="4" t="s">
        <v>9</v>
      </c>
      <c r="C106" s="19" t="s">
        <v>137</v>
      </c>
      <c r="D106" t="s">
        <v>143</v>
      </c>
      <c r="E106" t="s">
        <v>12</v>
      </c>
      <c r="F106" t="s">
        <v>142</v>
      </c>
      <c r="G106" s="3">
        <v>2</v>
      </c>
      <c r="H106" s="3"/>
      <c r="I106" t="s">
        <v>26</v>
      </c>
      <c r="J106" t="s">
        <v>39</v>
      </c>
    </row>
    <row r="107" spans="2:10">
      <c r="B107" s="4" t="s">
        <v>9</v>
      </c>
      <c r="C107" s="19" t="s">
        <v>137</v>
      </c>
      <c r="D107" t="s">
        <v>144</v>
      </c>
      <c r="E107" t="s">
        <v>22</v>
      </c>
      <c r="F107" t="s">
        <v>142</v>
      </c>
      <c r="G107" s="3">
        <v>3</v>
      </c>
      <c r="H107" s="3"/>
      <c r="I107" t="s">
        <v>26</v>
      </c>
      <c r="J107" t="s">
        <v>39</v>
      </c>
    </row>
  </sheetData>
  <phoneticPr fontId="4"/>
  <conditionalFormatting sqref="I3:I107">
    <cfRule type="expression" dxfId="11" priority="1" stopIfTrue="1">
      <formula>$I3="完了"</formula>
    </cfRule>
    <cfRule type="expression" dxfId="10" priority="2" stopIfTrue="1">
      <formula>$I3="作業中"</formula>
    </cfRule>
    <cfRule type="expression" dxfId="9" priority="3" stopIfTrue="1">
      <formula>$I3="保留"</formula>
    </cfRule>
  </conditionalFormatting>
  <dataValidations count="3">
    <dataValidation type="list" allowBlank="1" showInputMessage="1" showErrorMessage="1" sqref="E3:E107" xr:uid="{D9F46512-A4FF-49EA-A99C-53B8AEF55E96}">
      <formula1>"S,A,B,C"</formula1>
    </dataValidation>
    <dataValidation type="list" allowBlank="1" showInputMessage="1" showErrorMessage="1" sqref="F3:F107" xr:uid="{30910123-5B1C-4059-ACD0-DD0604EA4B92}">
      <formula1>"プロト,アルファ,ベータ,マスター"</formula1>
    </dataValidation>
    <dataValidation type="list" allowBlank="1" showInputMessage="1" showErrorMessage="1" sqref="I3:I107" xr:uid="{39085DAC-8730-49EC-B3A4-EE7F16B478CE}">
      <formula1>"未着手,作業中,完了,保留"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7D181-B473-4657-933B-5A137D6FF6BF}">
  <dimension ref="B1:Q38"/>
  <sheetViews>
    <sheetView showGridLines="0" workbookViewId="0">
      <selection activeCell="B4" sqref="B4"/>
    </sheetView>
  </sheetViews>
  <sheetFormatPr defaultRowHeight="16.5"/>
  <cols>
    <col min="1" max="1" width="2.625" style="1" customWidth="1"/>
    <col min="2" max="8" width="6.125" style="1" customWidth="1"/>
    <col min="9" max="9" width="3.625" style="1" customWidth="1"/>
    <col min="10" max="10" width="21.625" style="1" customWidth="1"/>
    <col min="11" max="11" width="13.625" style="1" customWidth="1"/>
    <col min="12" max="12" width="11.625" style="1" customWidth="1"/>
    <col min="13" max="15" width="9.625" style="1" customWidth="1"/>
    <col min="16" max="16" width="11.625" style="1" customWidth="1"/>
    <col min="17" max="17" width="14.625" style="1" customWidth="1"/>
    <col min="18" max="16384" width="9" style="1"/>
  </cols>
  <sheetData>
    <row r="1" spans="2:17" ht="18" customHeight="1"/>
    <row r="2" spans="2:17" ht="18" customHeight="1">
      <c r="B2" s="81">
        <f>DATE(2026,9,1)</f>
        <v>46266</v>
      </c>
      <c r="C2" s="82"/>
      <c r="D2" s="82"/>
      <c r="E2" s="82"/>
      <c r="F2" s="82"/>
      <c r="G2" s="82"/>
      <c r="H2" s="82"/>
      <c r="J2" s="52" t="s">
        <v>164</v>
      </c>
    </row>
    <row r="3" spans="2:17" ht="30" customHeight="1">
      <c r="B3" s="72" t="s">
        <v>187</v>
      </c>
      <c r="C3" s="73" t="s">
        <v>188</v>
      </c>
      <c r="D3" s="73" t="s">
        <v>189</v>
      </c>
      <c r="E3" s="73" t="s">
        <v>190</v>
      </c>
      <c r="F3" s="73" t="s">
        <v>191</v>
      </c>
      <c r="G3" s="73" t="s">
        <v>192</v>
      </c>
      <c r="H3" s="74" t="s">
        <v>193</v>
      </c>
      <c r="J3" s="53" t="s">
        <v>4</v>
      </c>
      <c r="K3" s="53" t="s">
        <v>165</v>
      </c>
      <c r="L3" s="53" t="s">
        <v>166</v>
      </c>
      <c r="M3" s="53" t="s">
        <v>167</v>
      </c>
      <c r="N3" s="53" t="s">
        <v>148</v>
      </c>
      <c r="O3" s="53" t="s">
        <v>150</v>
      </c>
      <c r="P3" s="53" t="s">
        <v>168</v>
      </c>
      <c r="Q3" s="53" t="s">
        <v>169</v>
      </c>
    </row>
    <row r="4" spans="2:17" ht="18" customHeight="1">
      <c r="B4" s="75" t="str">
        <f>IF(MONTH($B$2-WEEKDAY($B$2)+1+0)=9,$B$2-WEEKDAY($B$2)+1+0,"")</f>
        <v/>
      </c>
      <c r="C4" s="76" t="str">
        <f>IF(MONTH($B$2-WEEKDAY($B$2)+1+1)=9,$B$2-WEEKDAY($B$2)+1+1,"")</f>
        <v/>
      </c>
      <c r="D4" s="76">
        <f>IF(MONTH($B$2-WEEKDAY($B$2)+1+2)=9,$B$2-WEEKDAY($B$2)+1+2,"")</f>
        <v>46266</v>
      </c>
      <c r="E4" s="76">
        <f>IF(MONTH($B$2-WEEKDAY($B$2)+1+3)=9,$B$2-WEEKDAY($B$2)+1+3,"")</f>
        <v>46267</v>
      </c>
      <c r="F4" s="76">
        <f>IF(MONTH($B$2-WEEKDAY($B$2)+1+4)=9,$B$2-WEEKDAY($B$2)+1+4,"")</f>
        <v>46268</v>
      </c>
      <c r="G4" s="76">
        <f>IF(MONTH($B$2-WEEKDAY($B$2)+1+5)=9,$B$2-WEEKDAY($B$2)+1+5,"")</f>
        <v>46269</v>
      </c>
      <c r="H4" s="77">
        <f>IF(MONTH($B$2-WEEKDAY($B$2)+1+6)=9,$B$2-WEEKDAY($B$2)+1+6,"")</f>
        <v>46270</v>
      </c>
      <c r="J4" s="54" t="s">
        <v>13</v>
      </c>
      <c r="K4" s="55">
        <v>46289</v>
      </c>
      <c r="L4" s="55">
        <v>46326</v>
      </c>
      <c r="M4" s="56">
        <f ca="1">MAX(0,L4-TODAY()+1)</f>
        <v>4</v>
      </c>
      <c r="N4" s="57">
        <f>SUMIF(タスク[バージョン],J4,タスク[作業工数])</f>
        <v>83.4</v>
      </c>
      <c r="O4" s="57">
        <f>N4-SUMIFS(タスク[作業工数],タスク[バージョン],J4,タスク[ステータス],"完了")</f>
        <v>41.2</v>
      </c>
      <c r="P4" s="57">
        <f>SUM($O$4:O4)</f>
        <v>41.2</v>
      </c>
      <c r="Q4" s="58">
        <f ca="1">IF(M4=0,IF(P4=0,0,"期限切れ"),P4/M4)</f>
        <v>10.3</v>
      </c>
    </row>
    <row r="5" spans="2:17" ht="18" customHeight="1">
      <c r="B5" s="75">
        <f>IF(MONTH($B$2-WEEKDAY($B$2)+1+7)=9,$B$2-WEEKDAY($B$2)+1+7,"")</f>
        <v>46271</v>
      </c>
      <c r="C5" s="76">
        <f>IF(MONTH($B$2-WEEKDAY($B$2)+1+8)=9,$B$2-WEEKDAY($B$2)+1+8,"")</f>
        <v>46272</v>
      </c>
      <c r="D5" s="76">
        <f>IF(MONTH($B$2-WEEKDAY($B$2)+1+9)=9,$B$2-WEEKDAY($B$2)+1+9,"")</f>
        <v>46273</v>
      </c>
      <c r="E5" s="76">
        <f>IF(MONTH($B$2-WEEKDAY($B$2)+1+10)=9,$B$2-WEEKDAY($B$2)+1+10,"")</f>
        <v>46274</v>
      </c>
      <c r="F5" s="76">
        <f>IF(MONTH($B$2-WEEKDAY($B$2)+1+11)=9,$B$2-WEEKDAY($B$2)+1+11,"")</f>
        <v>46275</v>
      </c>
      <c r="G5" s="76">
        <f>IF(MONTH($B$2-WEEKDAY($B$2)+1+12)=9,$B$2-WEEKDAY($B$2)+1+12,"")</f>
        <v>46276</v>
      </c>
      <c r="H5" s="77">
        <f>IF(MONTH($B$2-WEEKDAY($B$2)+1+13)=9,$B$2-WEEKDAY($B$2)+1+13,"")</f>
        <v>46277</v>
      </c>
      <c r="J5" s="59" t="s">
        <v>38</v>
      </c>
      <c r="K5" s="55">
        <v>46327</v>
      </c>
      <c r="L5" s="55">
        <v>46356</v>
      </c>
      <c r="M5" s="56">
        <f ca="1">MAX(0,L5-TODAY()+1)</f>
        <v>34</v>
      </c>
      <c r="N5" s="57">
        <f>SUMIF(タスク[バージョン],J5,タスク[作業工数])</f>
        <v>47</v>
      </c>
      <c r="O5" s="57">
        <f>N5-SUMIFS(タスク[作業工数],タスク[バージョン],J5,タスク[ステータス],"完了")</f>
        <v>47</v>
      </c>
      <c r="P5" s="57">
        <f>SUM($O$4:O5)</f>
        <v>88.2</v>
      </c>
      <c r="Q5" s="58">
        <f ca="1">IF(M5=0,IF(P5=0,0,"期限切れ"),P5/M5)</f>
        <v>2.5941176470588236</v>
      </c>
    </row>
    <row r="6" spans="2:17" ht="18" customHeight="1">
      <c r="B6" s="75">
        <f>IF(MONTH($B$2-WEEKDAY($B$2)+1+14)=9,$B$2-WEEKDAY($B$2)+1+14,"")</f>
        <v>46278</v>
      </c>
      <c r="C6" s="76">
        <f>IF(MONTH($B$2-WEEKDAY($B$2)+1+15)=9,$B$2-WEEKDAY($B$2)+1+15,"")</f>
        <v>46279</v>
      </c>
      <c r="D6" s="76">
        <f>IF(MONTH($B$2-WEEKDAY($B$2)+1+16)=9,$B$2-WEEKDAY($B$2)+1+16,"")</f>
        <v>46280</v>
      </c>
      <c r="E6" s="76">
        <f>IF(MONTH($B$2-WEEKDAY($B$2)+1+17)=9,$B$2-WEEKDAY($B$2)+1+17,"")</f>
        <v>46281</v>
      </c>
      <c r="F6" s="76">
        <f>IF(MONTH($B$2-WEEKDAY($B$2)+1+18)=9,$B$2-WEEKDAY($B$2)+1+18,"")</f>
        <v>46282</v>
      </c>
      <c r="G6" s="76">
        <f>IF(MONTH($B$2-WEEKDAY($B$2)+1+19)=9,$B$2-WEEKDAY($B$2)+1+19,"")</f>
        <v>46283</v>
      </c>
      <c r="H6" s="77">
        <f>IF(MONTH($B$2-WEEKDAY($B$2)+1+20)=9,$B$2-WEEKDAY($B$2)+1+20,"")</f>
        <v>46284</v>
      </c>
      <c r="J6" s="60" t="s">
        <v>107</v>
      </c>
      <c r="K6" s="55">
        <v>46357</v>
      </c>
      <c r="L6" s="55">
        <v>46371</v>
      </c>
      <c r="M6" s="56">
        <f ca="1">MAX(0,L6-TODAY()+1)</f>
        <v>49</v>
      </c>
      <c r="N6" s="57">
        <f>SUMIF(タスク[バージョン],J6,タスク[作業工数])</f>
        <v>14.5</v>
      </c>
      <c r="O6" s="57">
        <f>N6-SUMIFS(タスク[作業工数],タスク[バージョン],J6,タスク[ステータス],"完了")</f>
        <v>14.5</v>
      </c>
      <c r="P6" s="57">
        <f>SUM($O$4:O6)</f>
        <v>102.7</v>
      </c>
      <c r="Q6" s="58">
        <f ca="1">IF(M6=0,IF(P6=0,0,"期限切れ"),P6/M6)</f>
        <v>2.0959183673469388</v>
      </c>
    </row>
    <row r="7" spans="2:17" ht="18" customHeight="1">
      <c r="B7" s="75">
        <f>IF(MONTH($B$2-WEEKDAY($B$2)+1+21)=9,$B$2-WEEKDAY($B$2)+1+21,"")</f>
        <v>46285</v>
      </c>
      <c r="C7" s="76">
        <f>IF(MONTH($B$2-WEEKDAY($B$2)+1+22)=9,$B$2-WEEKDAY($B$2)+1+22,"")</f>
        <v>46286</v>
      </c>
      <c r="D7" s="76">
        <f>IF(MONTH($B$2-WEEKDAY($B$2)+1+23)=9,$B$2-WEEKDAY($B$2)+1+23,"")</f>
        <v>46287</v>
      </c>
      <c r="E7" s="76">
        <f>IF(MONTH($B$2-WEEKDAY($B$2)+1+24)=9,$B$2-WEEKDAY($B$2)+1+24,"")</f>
        <v>46288</v>
      </c>
      <c r="F7" s="76">
        <f>IF(MONTH($B$2-WEEKDAY($B$2)+1+25)=9,$B$2-WEEKDAY($B$2)+1+25,"")</f>
        <v>46289</v>
      </c>
      <c r="G7" s="76">
        <f>IF(MONTH($B$2-WEEKDAY($B$2)+1+26)=9,$B$2-WEEKDAY($B$2)+1+26,"")</f>
        <v>46290</v>
      </c>
      <c r="H7" s="77">
        <f>IF(MONTH($B$2-WEEKDAY($B$2)+1+27)=9,$B$2-WEEKDAY($B$2)+1+27,"")</f>
        <v>46291</v>
      </c>
      <c r="J7" s="61" t="s">
        <v>142</v>
      </c>
      <c r="K7" s="55">
        <v>46372</v>
      </c>
      <c r="L7" s="55">
        <v>46386</v>
      </c>
      <c r="M7" s="56">
        <f ca="1">MAX(0,L7-TODAY()+1)</f>
        <v>64</v>
      </c>
      <c r="N7" s="57">
        <f>SUMIF(タスク[バージョン],J7,タスク[作業工数])</f>
        <v>9</v>
      </c>
      <c r="O7" s="57">
        <f>N7-SUMIFS(タスク[作業工数],タスク[バージョン],J7,タスク[ステータス],"完了")</f>
        <v>9</v>
      </c>
      <c r="P7" s="57">
        <f>SUM($O$4:O7)</f>
        <v>111.7</v>
      </c>
      <c r="Q7" s="58">
        <f ca="1">IF(M7=0,IF(P7=0,0,"期限切れ"),P7/M7)</f>
        <v>1.7453125</v>
      </c>
    </row>
    <row r="8" spans="2:17" ht="18" customHeight="1">
      <c r="B8" s="75">
        <f>IF(MONTH($B$2-WEEKDAY($B$2)+1+28)=9,$B$2-WEEKDAY($B$2)+1+28,"")</f>
        <v>46292</v>
      </c>
      <c r="C8" s="76">
        <f>IF(MONTH($B$2-WEEKDAY($B$2)+1+29)=9,$B$2-WEEKDAY($B$2)+1+29,"")</f>
        <v>46293</v>
      </c>
      <c r="D8" s="76">
        <f>IF(MONTH($B$2-WEEKDAY($B$2)+1+30)=9,$B$2-WEEKDAY($B$2)+1+30,"")</f>
        <v>46294</v>
      </c>
      <c r="E8" s="76">
        <f>IF(MONTH($B$2-WEEKDAY($B$2)+1+31)=9,$B$2-WEEKDAY($B$2)+1+31,"")</f>
        <v>46295</v>
      </c>
      <c r="F8" s="76" t="str">
        <f>IF(MONTH($B$2-WEEKDAY($B$2)+1+32)=9,$B$2-WEEKDAY($B$2)+1+32,"")</f>
        <v/>
      </c>
      <c r="G8" s="76" t="str">
        <f>IF(MONTH($B$2-WEEKDAY($B$2)+1+33)=9,$B$2-WEEKDAY($B$2)+1+33,"")</f>
        <v/>
      </c>
      <c r="H8" s="77" t="str">
        <f>IF(MONTH($B$2-WEEKDAY($B$2)+1+34)=9,$B$2-WEEKDAY($B$2)+1+34,"")</f>
        <v/>
      </c>
      <c r="J8" s="62" t="s">
        <v>170</v>
      </c>
      <c r="K8" s="55">
        <v>46387</v>
      </c>
      <c r="L8" s="55">
        <v>46387</v>
      </c>
      <c r="M8" s="56">
        <f ca="1">MAX(0,L8-TODAY()+1)</f>
        <v>65</v>
      </c>
      <c r="N8" s="57">
        <f>SUMIF(タスク[バージョン],J8,タスク[作業工数])</f>
        <v>0</v>
      </c>
      <c r="O8" s="57">
        <f>N8-SUMIFS(タスク[作業工数],タスク[バージョン],J8,タスク[ステータス],"完了")</f>
        <v>0</v>
      </c>
      <c r="P8" s="57">
        <f>SUM($O$4:O8)</f>
        <v>111.7</v>
      </c>
      <c r="Q8" s="58">
        <f ca="1">IF(M8=0,IF(P8=0,0,"期限切れ"),P8/M8)</f>
        <v>1.7184615384615385</v>
      </c>
    </row>
    <row r="9" spans="2:17" ht="18" customHeight="1">
      <c r="B9" s="75" t="str">
        <f>IF(MONTH($B$2-WEEKDAY($B$2)+1+35)=9,$B$2-WEEKDAY($B$2)+1+35,"")</f>
        <v/>
      </c>
      <c r="C9" s="76" t="str">
        <f>IF(MONTH($B$2-WEEKDAY($B$2)+1+36)=9,$B$2-WEEKDAY($B$2)+1+36,"")</f>
        <v/>
      </c>
      <c r="D9" s="76" t="str">
        <f>IF(MONTH($B$2-WEEKDAY($B$2)+1+37)=9,$B$2-WEEKDAY($B$2)+1+37,"")</f>
        <v/>
      </c>
      <c r="E9" s="76" t="str">
        <f>IF(MONTH($B$2-WEEKDAY($B$2)+1+38)=9,$B$2-WEEKDAY($B$2)+1+38,"")</f>
        <v/>
      </c>
      <c r="F9" s="76" t="str">
        <f>IF(MONTH($B$2-WEEKDAY($B$2)+1+39)=9,$B$2-WEEKDAY($B$2)+1+39,"")</f>
        <v/>
      </c>
      <c r="G9" s="76" t="str">
        <f>IF(MONTH($B$2-WEEKDAY($B$2)+1+40)=9,$B$2-WEEKDAY($B$2)+1+40,"")</f>
        <v/>
      </c>
      <c r="H9" s="77" t="str">
        <f>IF(MONTH($B$2-WEEKDAY($B$2)+1+41)=9,$B$2-WEEKDAY($B$2)+1+41,"")</f>
        <v/>
      </c>
    </row>
    <row r="10" spans="2:17" ht="18" customHeight="1"/>
    <row r="11" spans="2:17" ht="18" customHeight="1">
      <c r="B11" s="81">
        <f>DATE(2026,10,1)</f>
        <v>46296</v>
      </c>
      <c r="C11" s="82"/>
      <c r="D11" s="82"/>
      <c r="E11" s="82"/>
      <c r="F11" s="82"/>
      <c r="G11" s="82"/>
      <c r="H11" s="82"/>
      <c r="J11" s="52" t="s">
        <v>171</v>
      </c>
    </row>
    <row r="12" spans="2:17" ht="18" customHeight="1">
      <c r="B12" s="72" t="s">
        <v>187</v>
      </c>
      <c r="C12" s="73" t="s">
        <v>188</v>
      </c>
      <c r="D12" s="73" t="s">
        <v>189</v>
      </c>
      <c r="E12" s="73" t="s">
        <v>190</v>
      </c>
      <c r="F12" s="73" t="s">
        <v>191</v>
      </c>
      <c r="G12" s="73" t="s">
        <v>192</v>
      </c>
      <c r="H12" s="74" t="s">
        <v>193</v>
      </c>
      <c r="J12" s="63" t="s">
        <v>165</v>
      </c>
      <c r="K12" s="64">
        <f>K4</f>
        <v>46289</v>
      </c>
    </row>
    <row r="13" spans="2:17" ht="18" customHeight="1">
      <c r="B13" s="75" t="str">
        <f>IF(MONTH($B$11-WEEKDAY($B$11)+1+0)=10,$B$11-WEEKDAY($B$11)+1+0,"")</f>
        <v/>
      </c>
      <c r="C13" s="76" t="str">
        <f>IF(MONTH($B$11-WEEKDAY($B$11)+1+1)=10,$B$11-WEEKDAY($B$11)+1+1,"")</f>
        <v/>
      </c>
      <c r="D13" s="76" t="str">
        <f>IF(MONTH($B$11-WEEKDAY($B$11)+1+2)=10,$B$11-WEEKDAY($B$11)+1+2,"")</f>
        <v/>
      </c>
      <c r="E13" s="76" t="str">
        <f>IF(MONTH($B$11-WEEKDAY($B$11)+1+3)=10,$B$11-WEEKDAY($B$11)+1+3,"")</f>
        <v/>
      </c>
      <c r="F13" s="76">
        <f>IF(MONTH($B$11-WEEKDAY($B$11)+1+4)=10,$B$11-WEEKDAY($B$11)+1+4,"")</f>
        <v>46296</v>
      </c>
      <c r="G13" s="76">
        <f>IF(MONTH($B$11-WEEKDAY($B$11)+1+5)=10,$B$11-WEEKDAY($B$11)+1+5,"")</f>
        <v>46297</v>
      </c>
      <c r="H13" s="77">
        <f>IF(MONTH($B$11-WEEKDAY($B$11)+1+6)=10,$B$11-WEEKDAY($B$11)+1+6,"")</f>
        <v>46298</v>
      </c>
      <c r="J13" s="63" t="s">
        <v>172</v>
      </c>
      <c r="K13" s="64">
        <f ca="1">TODAY()</f>
        <v>46323</v>
      </c>
    </row>
    <row r="14" spans="2:17" ht="18" customHeight="1">
      <c r="B14" s="75">
        <f>IF(MONTH($B$11-WEEKDAY($B$11)+1+7)=10,$B$11-WEEKDAY($B$11)+1+7,"")</f>
        <v>46299</v>
      </c>
      <c r="C14" s="76">
        <f>IF(MONTH($B$11-WEEKDAY($B$11)+1+8)=10,$B$11-WEEKDAY($B$11)+1+8,"")</f>
        <v>46300</v>
      </c>
      <c r="D14" s="76">
        <f>IF(MONTH($B$11-WEEKDAY($B$11)+1+9)=10,$B$11-WEEKDAY($B$11)+1+9,"")</f>
        <v>46301</v>
      </c>
      <c r="E14" s="76">
        <f>IF(MONTH($B$11-WEEKDAY($B$11)+1+10)=10,$B$11-WEEKDAY($B$11)+1+10,"")</f>
        <v>46302</v>
      </c>
      <c r="F14" s="76">
        <f>IF(MONTH($B$11-WEEKDAY($B$11)+1+11)=10,$B$11-WEEKDAY($B$11)+1+11,"")</f>
        <v>46303</v>
      </c>
      <c r="G14" s="76">
        <f>IF(MONTH($B$11-WEEKDAY($B$11)+1+12)=10,$B$11-WEEKDAY($B$11)+1+12,"")</f>
        <v>46304</v>
      </c>
      <c r="H14" s="77">
        <f>IF(MONTH($B$11-WEEKDAY($B$11)+1+13)=10,$B$11-WEEKDAY($B$11)+1+13,"")</f>
        <v>46305</v>
      </c>
      <c r="J14" s="63" t="s">
        <v>173</v>
      </c>
      <c r="K14" s="65">
        <f ca="1">MAX(0,TODAY()-K12)</f>
        <v>34</v>
      </c>
    </row>
    <row r="15" spans="2:17" ht="18" customHeight="1">
      <c r="B15" s="75">
        <f>IF(MONTH($B$11-WEEKDAY($B$11)+1+14)=10,$B$11-WEEKDAY($B$11)+1+14,"")</f>
        <v>46306</v>
      </c>
      <c r="C15" s="76">
        <f>IF(MONTH($B$11-WEEKDAY($B$11)+1+15)=10,$B$11-WEEKDAY($B$11)+1+15,"")</f>
        <v>46307</v>
      </c>
      <c r="D15" s="76">
        <f>IF(MONTH($B$11-WEEKDAY($B$11)+1+16)=10,$B$11-WEEKDAY($B$11)+1+16,"")</f>
        <v>46308</v>
      </c>
      <c r="E15" s="76">
        <f>IF(MONTH($B$11-WEEKDAY($B$11)+1+17)=10,$B$11-WEEKDAY($B$11)+1+17,"")</f>
        <v>46309</v>
      </c>
      <c r="F15" s="76">
        <f>IF(MONTH($B$11-WEEKDAY($B$11)+1+18)=10,$B$11-WEEKDAY($B$11)+1+18,"")</f>
        <v>46310</v>
      </c>
      <c r="G15" s="76">
        <f>IF(MONTH($B$11-WEEKDAY($B$11)+1+19)=10,$B$11-WEEKDAY($B$11)+1+19,"")</f>
        <v>46311</v>
      </c>
      <c r="H15" s="77">
        <f>IF(MONTH($B$11-WEEKDAY($B$11)+1+20)=10,$B$11-WEEKDAY($B$11)+1+20,"")</f>
        <v>46312</v>
      </c>
      <c r="J15" s="63" t="s">
        <v>174</v>
      </c>
      <c r="K15" s="65">
        <f ca="1">M8</f>
        <v>65</v>
      </c>
    </row>
    <row r="16" spans="2:17" ht="18" customHeight="1">
      <c r="B16" s="75">
        <f>IF(MONTH($B$11-WEEKDAY($B$11)+1+21)=10,$B$11-WEEKDAY($B$11)+1+21,"")</f>
        <v>46313</v>
      </c>
      <c r="C16" s="76">
        <f>IF(MONTH($B$11-WEEKDAY($B$11)+1+22)=10,$B$11-WEEKDAY($B$11)+1+22,"")</f>
        <v>46314</v>
      </c>
      <c r="D16" s="76">
        <f>IF(MONTH($B$11-WEEKDAY($B$11)+1+23)=10,$B$11-WEEKDAY($B$11)+1+23,"")</f>
        <v>46315</v>
      </c>
      <c r="E16" s="76">
        <f>IF(MONTH($B$11-WEEKDAY($B$11)+1+24)=10,$B$11-WEEKDAY($B$11)+1+24,"")</f>
        <v>46316</v>
      </c>
      <c r="F16" s="76">
        <f>IF(MONTH($B$11-WEEKDAY($B$11)+1+25)=10,$B$11-WEEKDAY($B$11)+1+25,"")</f>
        <v>46317</v>
      </c>
      <c r="G16" s="76">
        <f>IF(MONTH($B$11-WEEKDAY($B$11)+1+26)=10,$B$11-WEEKDAY($B$11)+1+26,"")</f>
        <v>46318</v>
      </c>
      <c r="H16" s="77">
        <f>IF(MONTH($B$11-WEEKDAY($B$11)+1+27)=10,$B$11-WEEKDAY($B$11)+1+27,"")</f>
        <v>46319</v>
      </c>
      <c r="J16" s="63" t="s">
        <v>148</v>
      </c>
      <c r="K16" s="66">
        <f>コスト表!M6</f>
        <v>153.9</v>
      </c>
    </row>
    <row r="17" spans="2:11" ht="18" customHeight="1">
      <c r="B17" s="75">
        <f>IF(MONTH($B$11-WEEKDAY($B$11)+1+28)=10,$B$11-WEEKDAY($B$11)+1+28,"")</f>
        <v>46320</v>
      </c>
      <c r="C17" s="76">
        <f>IF(MONTH($B$11-WEEKDAY($B$11)+1+29)=10,$B$11-WEEKDAY($B$11)+1+29,"")</f>
        <v>46321</v>
      </c>
      <c r="D17" s="76">
        <f>IF(MONTH($B$11-WEEKDAY($B$11)+1+30)=10,$B$11-WEEKDAY($B$11)+1+30,"")</f>
        <v>46322</v>
      </c>
      <c r="E17" s="76">
        <f>IF(MONTH($B$11-WEEKDAY($B$11)+1+31)=10,$B$11-WEEKDAY($B$11)+1+31,"")</f>
        <v>46323</v>
      </c>
      <c r="F17" s="76">
        <f>IF(MONTH($B$11-WEEKDAY($B$11)+1+32)=10,$B$11-WEEKDAY($B$11)+1+32,"")</f>
        <v>46324</v>
      </c>
      <c r="G17" s="76">
        <f>IF(MONTH($B$11-WEEKDAY($B$11)+1+33)=10,$B$11-WEEKDAY($B$11)+1+33,"")</f>
        <v>46325</v>
      </c>
      <c r="H17" s="77">
        <f>IF(MONTH($B$11-WEEKDAY($B$11)+1+34)=10,$B$11-WEEKDAY($B$11)+1+34,"")</f>
        <v>46326</v>
      </c>
      <c r="J17" s="63" t="s">
        <v>175</v>
      </c>
      <c r="K17" s="66">
        <f>コスト表!N6</f>
        <v>42.2</v>
      </c>
    </row>
    <row r="18" spans="2:11" ht="18" customHeight="1">
      <c r="B18" s="75" t="str">
        <f>IF(MONTH($B$11-WEEKDAY($B$11)+1+35)=10,$B$11-WEEKDAY($B$11)+1+35,"")</f>
        <v/>
      </c>
      <c r="C18" s="76" t="str">
        <f>IF(MONTH($B$11-WEEKDAY($B$11)+1+36)=10,$B$11-WEEKDAY($B$11)+1+36,"")</f>
        <v/>
      </c>
      <c r="D18" s="76" t="str">
        <f>IF(MONTH($B$11-WEEKDAY($B$11)+1+37)=10,$B$11-WEEKDAY($B$11)+1+37,"")</f>
        <v/>
      </c>
      <c r="E18" s="76" t="str">
        <f>IF(MONTH($B$11-WEEKDAY($B$11)+1+38)=10,$B$11-WEEKDAY($B$11)+1+38,"")</f>
        <v/>
      </c>
      <c r="F18" s="76" t="str">
        <f>IF(MONTH($B$11-WEEKDAY($B$11)+1+39)=10,$B$11-WEEKDAY($B$11)+1+39,"")</f>
        <v/>
      </c>
      <c r="G18" s="76" t="str">
        <f>IF(MONTH($B$11-WEEKDAY($B$11)+1+40)=10,$B$11-WEEKDAY($B$11)+1+40,"")</f>
        <v/>
      </c>
      <c r="H18" s="77" t="str">
        <f>IF(MONTH($B$11-WEEKDAY($B$11)+1+41)=10,$B$11-WEEKDAY($B$11)+1+41,"")</f>
        <v/>
      </c>
      <c r="J18" s="63" t="s">
        <v>150</v>
      </c>
      <c r="K18" s="66">
        <f>K16-K17</f>
        <v>111.7</v>
      </c>
    </row>
    <row r="19" spans="2:11" ht="18" customHeight="1">
      <c r="J19" s="63" t="s">
        <v>151</v>
      </c>
      <c r="K19" s="67">
        <f>IF(K16=0,0,K17/K16)</f>
        <v>0.27420402858999349</v>
      </c>
    </row>
    <row r="20" spans="2:11" ht="18" customHeight="1">
      <c r="B20" s="81">
        <f>DATE(2026,11,1)</f>
        <v>46327</v>
      </c>
      <c r="C20" s="82"/>
      <c r="D20" s="82"/>
      <c r="E20" s="82"/>
      <c r="F20" s="82"/>
      <c r="G20" s="82"/>
      <c r="H20" s="82"/>
      <c r="J20" s="63" t="s">
        <v>176</v>
      </c>
      <c r="K20" s="68">
        <f ca="1">IF(K14=0,0,K17/K14)</f>
        <v>1.2411764705882353</v>
      </c>
    </row>
    <row r="21" spans="2:11" ht="18" customHeight="1">
      <c r="B21" s="72" t="s">
        <v>187</v>
      </c>
      <c r="C21" s="73" t="s">
        <v>188</v>
      </c>
      <c r="D21" s="73" t="s">
        <v>189</v>
      </c>
      <c r="E21" s="73" t="s">
        <v>190</v>
      </c>
      <c r="F21" s="73" t="s">
        <v>191</v>
      </c>
      <c r="G21" s="73" t="s">
        <v>192</v>
      </c>
      <c r="H21" s="74" t="s">
        <v>193</v>
      </c>
      <c r="J21" s="63" t="s">
        <v>169</v>
      </c>
      <c r="K21" s="68">
        <f ca="1">IF(K15=0,"-",K18/K15)</f>
        <v>1.7184615384615385</v>
      </c>
    </row>
    <row r="22" spans="2:11" ht="18" customHeight="1">
      <c r="B22" s="75">
        <f>IF(MONTH($B$20-WEEKDAY($B$20)+1+0)=11,$B$20-WEEKDAY($B$20)+1+0,"")</f>
        <v>46327</v>
      </c>
      <c r="C22" s="76">
        <f>IF(MONTH($B$20-WEEKDAY($B$20)+1+1)=11,$B$20-WEEKDAY($B$20)+1+1,"")</f>
        <v>46328</v>
      </c>
      <c r="D22" s="76">
        <f>IF(MONTH($B$20-WEEKDAY($B$20)+1+2)=11,$B$20-WEEKDAY($B$20)+1+2,"")</f>
        <v>46329</v>
      </c>
      <c r="E22" s="76">
        <f>IF(MONTH($B$20-WEEKDAY($B$20)+1+3)=11,$B$20-WEEKDAY($B$20)+1+3,"")</f>
        <v>46330</v>
      </c>
      <c r="F22" s="76">
        <f>IF(MONTH($B$20-WEEKDAY($B$20)+1+4)=11,$B$20-WEEKDAY($B$20)+1+4,"")</f>
        <v>46331</v>
      </c>
      <c r="G22" s="76">
        <f>IF(MONTH($B$20-WEEKDAY($B$20)+1+5)=11,$B$20-WEEKDAY($B$20)+1+5,"")</f>
        <v>46332</v>
      </c>
      <c r="H22" s="77">
        <f>IF(MONTH($B$20-WEEKDAY($B$20)+1+6)=11,$B$20-WEEKDAY($B$20)+1+6,"")</f>
        <v>46333</v>
      </c>
      <c r="J22" s="63" t="s">
        <v>177</v>
      </c>
      <c r="K22" s="69">
        <v>8</v>
      </c>
    </row>
    <row r="23" spans="2:11" ht="18" customHeight="1">
      <c r="B23" s="75">
        <f>IF(MONTH($B$20-WEEKDAY($B$20)+1+7)=11,$B$20-WEEKDAY($B$20)+1+7,"")</f>
        <v>46334</v>
      </c>
      <c r="C23" s="76">
        <f>IF(MONTH($B$20-WEEKDAY($B$20)+1+8)=11,$B$20-WEEKDAY($B$20)+1+8,"")</f>
        <v>46335</v>
      </c>
      <c r="D23" s="76">
        <f>IF(MONTH($B$20-WEEKDAY($B$20)+1+9)=11,$B$20-WEEKDAY($B$20)+1+9,"")</f>
        <v>46336</v>
      </c>
      <c r="E23" s="76">
        <f>IF(MONTH($B$20-WEEKDAY($B$20)+1+10)=11,$B$20-WEEKDAY($B$20)+1+10,"")</f>
        <v>46337</v>
      </c>
      <c r="F23" s="76">
        <f>IF(MONTH($B$20-WEEKDAY($B$20)+1+11)=11,$B$20-WEEKDAY($B$20)+1+11,"")</f>
        <v>46338</v>
      </c>
      <c r="G23" s="76">
        <f>IF(MONTH($B$20-WEEKDAY($B$20)+1+12)=11,$B$20-WEEKDAY($B$20)+1+12,"")</f>
        <v>46339</v>
      </c>
      <c r="H23" s="77">
        <f>IF(MONTH($B$20-WEEKDAY($B$20)+1+13)=11,$B$20-WEEKDAY($B$20)+1+13,"")</f>
        <v>46340</v>
      </c>
      <c r="J23" s="63" t="s">
        <v>178</v>
      </c>
      <c r="K23" s="69">
        <v>1</v>
      </c>
    </row>
    <row r="24" spans="2:11" ht="18" customHeight="1">
      <c r="B24" s="75">
        <f>IF(MONTH($B$20-WEEKDAY($B$20)+1+14)=11,$B$20-WEEKDAY($B$20)+1+14,"")</f>
        <v>46341</v>
      </c>
      <c r="C24" s="76">
        <f>IF(MONTH($B$20-WEEKDAY($B$20)+1+15)=11,$B$20-WEEKDAY($B$20)+1+15,"")</f>
        <v>46342</v>
      </c>
      <c r="D24" s="76">
        <f>IF(MONTH($B$20-WEEKDAY($B$20)+1+16)=11,$B$20-WEEKDAY($B$20)+1+16,"")</f>
        <v>46343</v>
      </c>
      <c r="E24" s="76">
        <f>IF(MONTH($B$20-WEEKDAY($B$20)+1+17)=11,$B$20-WEEKDAY($B$20)+1+17,"")</f>
        <v>46344</v>
      </c>
      <c r="F24" s="76">
        <f>IF(MONTH($B$20-WEEKDAY($B$20)+1+18)=11,$B$20-WEEKDAY($B$20)+1+18,"")</f>
        <v>46345</v>
      </c>
      <c r="G24" s="76">
        <f>IF(MONTH($B$20-WEEKDAY($B$20)+1+19)=11,$B$20-WEEKDAY($B$20)+1+19,"")</f>
        <v>46346</v>
      </c>
      <c r="H24" s="77">
        <f>IF(MONTH($B$20-WEEKDAY($B$20)+1+20)=11,$B$20-WEEKDAY($B$20)+1+20,"")</f>
        <v>46347</v>
      </c>
      <c r="J24" s="63" t="s">
        <v>179</v>
      </c>
      <c r="K24" s="68">
        <f>IF(K23=0,0,K22/K23)</f>
        <v>8</v>
      </c>
    </row>
    <row r="25" spans="2:11" ht="18" customHeight="1">
      <c r="B25" s="75">
        <f>IF(MONTH($B$20-WEEKDAY($B$20)+1+21)=11,$B$20-WEEKDAY($B$20)+1+21,"")</f>
        <v>46348</v>
      </c>
      <c r="C25" s="76">
        <f>IF(MONTH($B$20-WEEKDAY($B$20)+1+22)=11,$B$20-WEEKDAY($B$20)+1+22,"")</f>
        <v>46349</v>
      </c>
      <c r="D25" s="76">
        <f>IF(MONTH($B$20-WEEKDAY($B$20)+1+23)=11,$B$20-WEEKDAY($B$20)+1+23,"")</f>
        <v>46350</v>
      </c>
      <c r="E25" s="76">
        <f>IF(MONTH($B$20-WEEKDAY($B$20)+1+24)=11,$B$20-WEEKDAY($B$20)+1+24,"")</f>
        <v>46351</v>
      </c>
      <c r="F25" s="76">
        <f>IF(MONTH($B$20-WEEKDAY($B$20)+1+25)=11,$B$20-WEEKDAY($B$20)+1+25,"")</f>
        <v>46352</v>
      </c>
      <c r="G25" s="76">
        <f>IF(MONTH($B$20-WEEKDAY($B$20)+1+26)=11,$B$20-WEEKDAY($B$20)+1+26,"")</f>
        <v>46353</v>
      </c>
      <c r="H25" s="77">
        <f>IF(MONTH($B$20-WEEKDAY($B$20)+1+27)=11,$B$20-WEEKDAY($B$20)+1+27,"")</f>
        <v>46354</v>
      </c>
      <c r="J25" s="63" t="s">
        <v>180</v>
      </c>
      <c r="K25" s="70" t="str">
        <f ca="1">IF(K15=0,"-",IF(K21&lt;=K24,"間に合うペース","作業時間が足りない"))</f>
        <v>間に合うペース</v>
      </c>
    </row>
    <row r="26" spans="2:11" ht="18" customHeight="1">
      <c r="B26" s="75">
        <f>IF(MONTH($B$20-WEEKDAY($B$20)+1+28)=11,$B$20-WEEKDAY($B$20)+1+28,"")</f>
        <v>46355</v>
      </c>
      <c r="C26" s="76">
        <f>IF(MONTH($B$20-WEEKDAY($B$20)+1+29)=11,$B$20-WEEKDAY($B$20)+1+29,"")</f>
        <v>46356</v>
      </c>
      <c r="D26" s="76" t="str">
        <f>IF(MONTH($B$20-WEEKDAY($B$20)+1+30)=11,$B$20-WEEKDAY($B$20)+1+30,"")</f>
        <v/>
      </c>
      <c r="E26" s="76" t="str">
        <f>IF(MONTH($B$20-WEEKDAY($B$20)+1+31)=11,$B$20-WEEKDAY($B$20)+1+31,"")</f>
        <v/>
      </c>
      <c r="F26" s="76" t="str">
        <f>IF(MONTH($B$20-WEEKDAY($B$20)+1+32)=11,$B$20-WEEKDAY($B$20)+1+32,"")</f>
        <v/>
      </c>
      <c r="G26" s="76" t="str">
        <f>IF(MONTH($B$20-WEEKDAY($B$20)+1+33)=11,$B$20-WEEKDAY($B$20)+1+33,"")</f>
        <v/>
      </c>
      <c r="H26" s="77" t="str">
        <f>IF(MONTH($B$20-WEEKDAY($B$20)+1+34)=11,$B$20-WEEKDAY($B$20)+1+34,"")</f>
        <v/>
      </c>
    </row>
    <row r="27" spans="2:11" ht="18" customHeight="1">
      <c r="B27" s="75" t="str">
        <f>IF(MONTH($B$20-WEEKDAY($B$20)+1+35)=11,$B$20-WEEKDAY($B$20)+1+35,"")</f>
        <v/>
      </c>
      <c r="C27" s="76" t="str">
        <f>IF(MONTH($B$20-WEEKDAY($B$20)+1+36)=11,$B$20-WEEKDAY($B$20)+1+36,"")</f>
        <v/>
      </c>
      <c r="D27" s="76" t="str">
        <f>IF(MONTH($B$20-WEEKDAY($B$20)+1+37)=11,$B$20-WEEKDAY($B$20)+1+37,"")</f>
        <v/>
      </c>
      <c r="E27" s="76" t="str">
        <f>IF(MONTH($B$20-WEEKDAY($B$20)+1+38)=11,$B$20-WEEKDAY($B$20)+1+38,"")</f>
        <v/>
      </c>
      <c r="F27" s="76" t="str">
        <f>IF(MONTH($B$20-WEEKDAY($B$20)+1+39)=11,$B$20-WEEKDAY($B$20)+1+39,"")</f>
        <v/>
      </c>
      <c r="G27" s="76" t="str">
        <f>IF(MONTH($B$20-WEEKDAY($B$20)+1+40)=11,$B$20-WEEKDAY($B$20)+1+40,"")</f>
        <v/>
      </c>
      <c r="H27" s="77" t="str">
        <f>IF(MONTH($B$20-WEEKDAY($B$20)+1+41)=11,$B$20-WEEKDAY($B$20)+1+41,"")</f>
        <v/>
      </c>
    </row>
    <row r="28" spans="2:11" ht="18" customHeight="1">
      <c r="J28" s="51" t="s">
        <v>181</v>
      </c>
    </row>
    <row r="29" spans="2:11" ht="18" customHeight="1">
      <c r="B29" s="81">
        <f>DATE(2026,12,1)</f>
        <v>46357</v>
      </c>
      <c r="C29" s="82"/>
      <c r="D29" s="82"/>
      <c r="E29" s="82"/>
      <c r="F29" s="82"/>
      <c r="G29" s="82"/>
      <c r="H29" s="82"/>
      <c r="J29" s="71" t="s">
        <v>182</v>
      </c>
    </row>
    <row r="30" spans="2:11" ht="18" customHeight="1">
      <c r="B30" s="72" t="s">
        <v>187</v>
      </c>
      <c r="C30" s="73" t="s">
        <v>188</v>
      </c>
      <c r="D30" s="73" t="s">
        <v>189</v>
      </c>
      <c r="E30" s="73" t="s">
        <v>190</v>
      </c>
      <c r="F30" s="73" t="s">
        <v>191</v>
      </c>
      <c r="G30" s="73" t="s">
        <v>192</v>
      </c>
      <c r="H30" s="74" t="s">
        <v>193</v>
      </c>
      <c r="J30" s="71" t="s">
        <v>183</v>
      </c>
    </row>
    <row r="31" spans="2:11" ht="18" customHeight="1">
      <c r="B31" s="75" t="str">
        <f>IF(MONTH($B$29-WEEKDAY($B$29)+1+0)=12,$B$29-WEEKDAY($B$29)+1+0,"")</f>
        <v/>
      </c>
      <c r="C31" s="76" t="str">
        <f>IF(MONTH($B$29-WEEKDAY($B$29)+1+1)=12,$B$29-WEEKDAY($B$29)+1+1,"")</f>
        <v/>
      </c>
      <c r="D31" s="76">
        <f>IF(MONTH($B$29-WEEKDAY($B$29)+1+2)=12,$B$29-WEEKDAY($B$29)+1+2,"")</f>
        <v>46357</v>
      </c>
      <c r="E31" s="76">
        <f>IF(MONTH($B$29-WEEKDAY($B$29)+1+3)=12,$B$29-WEEKDAY($B$29)+1+3,"")</f>
        <v>46358</v>
      </c>
      <c r="F31" s="76">
        <f>IF(MONTH($B$29-WEEKDAY($B$29)+1+4)=12,$B$29-WEEKDAY($B$29)+1+4,"")</f>
        <v>46359</v>
      </c>
      <c r="G31" s="76">
        <f>IF(MONTH($B$29-WEEKDAY($B$29)+1+5)=12,$B$29-WEEKDAY($B$29)+1+5,"")</f>
        <v>46360</v>
      </c>
      <c r="H31" s="77">
        <f>IF(MONTH($B$29-WEEKDAY($B$29)+1+6)=12,$B$29-WEEKDAY($B$29)+1+6,"")</f>
        <v>46361</v>
      </c>
      <c r="J31" s="71" t="s">
        <v>184</v>
      </c>
    </row>
    <row r="32" spans="2:11" ht="18" customHeight="1">
      <c r="B32" s="75">
        <f>IF(MONTH($B$29-WEEKDAY($B$29)+1+7)=12,$B$29-WEEKDAY($B$29)+1+7,"")</f>
        <v>46362</v>
      </c>
      <c r="C32" s="76">
        <f>IF(MONTH($B$29-WEEKDAY($B$29)+1+8)=12,$B$29-WEEKDAY($B$29)+1+8,"")</f>
        <v>46363</v>
      </c>
      <c r="D32" s="76">
        <f>IF(MONTH($B$29-WEEKDAY($B$29)+1+9)=12,$B$29-WEEKDAY($B$29)+1+9,"")</f>
        <v>46364</v>
      </c>
      <c r="E32" s="76">
        <f>IF(MONTH($B$29-WEEKDAY($B$29)+1+10)=12,$B$29-WEEKDAY($B$29)+1+10,"")</f>
        <v>46365</v>
      </c>
      <c r="F32" s="76">
        <f>IF(MONTH($B$29-WEEKDAY($B$29)+1+11)=12,$B$29-WEEKDAY($B$29)+1+11,"")</f>
        <v>46366</v>
      </c>
      <c r="G32" s="76">
        <f>IF(MONTH($B$29-WEEKDAY($B$29)+1+12)=12,$B$29-WEEKDAY($B$29)+1+12,"")</f>
        <v>46367</v>
      </c>
      <c r="H32" s="77">
        <f>IF(MONTH($B$29-WEEKDAY($B$29)+1+13)=12,$B$29-WEEKDAY($B$29)+1+13,"")</f>
        <v>46368</v>
      </c>
      <c r="J32" s="71" t="s">
        <v>185</v>
      </c>
    </row>
    <row r="33" spans="2:10" ht="18" customHeight="1">
      <c r="B33" s="75">
        <f>IF(MONTH($B$29-WEEKDAY($B$29)+1+14)=12,$B$29-WEEKDAY($B$29)+1+14,"")</f>
        <v>46369</v>
      </c>
      <c r="C33" s="76">
        <f>IF(MONTH($B$29-WEEKDAY($B$29)+1+15)=12,$B$29-WEEKDAY($B$29)+1+15,"")</f>
        <v>46370</v>
      </c>
      <c r="D33" s="76">
        <f>IF(MONTH($B$29-WEEKDAY($B$29)+1+16)=12,$B$29-WEEKDAY($B$29)+1+16,"")</f>
        <v>46371</v>
      </c>
      <c r="E33" s="76">
        <f>IF(MONTH($B$29-WEEKDAY($B$29)+1+17)=12,$B$29-WEEKDAY($B$29)+1+17,"")</f>
        <v>46372</v>
      </c>
      <c r="F33" s="76">
        <f>IF(MONTH($B$29-WEEKDAY($B$29)+1+18)=12,$B$29-WEEKDAY($B$29)+1+18,"")</f>
        <v>46373</v>
      </c>
      <c r="G33" s="76">
        <f>IF(MONTH($B$29-WEEKDAY($B$29)+1+19)=12,$B$29-WEEKDAY($B$29)+1+19,"")</f>
        <v>46374</v>
      </c>
      <c r="H33" s="77">
        <f>IF(MONTH($B$29-WEEKDAY($B$29)+1+20)=12,$B$29-WEEKDAY($B$29)+1+20,"")</f>
        <v>46375</v>
      </c>
      <c r="J33" s="71" t="s">
        <v>186</v>
      </c>
    </row>
    <row r="34" spans="2:10" ht="18" customHeight="1">
      <c r="B34" s="75">
        <f>IF(MONTH($B$29-WEEKDAY($B$29)+1+21)=12,$B$29-WEEKDAY($B$29)+1+21,"")</f>
        <v>46376</v>
      </c>
      <c r="C34" s="76">
        <f>IF(MONTH($B$29-WEEKDAY($B$29)+1+22)=12,$B$29-WEEKDAY($B$29)+1+22,"")</f>
        <v>46377</v>
      </c>
      <c r="D34" s="76">
        <f>IF(MONTH($B$29-WEEKDAY($B$29)+1+23)=12,$B$29-WEEKDAY($B$29)+1+23,"")</f>
        <v>46378</v>
      </c>
      <c r="E34" s="76">
        <f>IF(MONTH($B$29-WEEKDAY($B$29)+1+24)=12,$B$29-WEEKDAY($B$29)+1+24,"")</f>
        <v>46379</v>
      </c>
      <c r="F34" s="76">
        <f>IF(MONTH($B$29-WEEKDAY($B$29)+1+25)=12,$B$29-WEEKDAY($B$29)+1+25,"")</f>
        <v>46380</v>
      </c>
      <c r="G34" s="76">
        <f>IF(MONTH($B$29-WEEKDAY($B$29)+1+26)=12,$B$29-WEEKDAY($B$29)+1+26,"")</f>
        <v>46381</v>
      </c>
      <c r="H34" s="77">
        <f>IF(MONTH($B$29-WEEKDAY($B$29)+1+27)=12,$B$29-WEEKDAY($B$29)+1+27,"")</f>
        <v>46382</v>
      </c>
    </row>
    <row r="35" spans="2:10" ht="18" customHeight="1">
      <c r="B35" s="75">
        <f>IF(MONTH($B$29-WEEKDAY($B$29)+1+28)=12,$B$29-WEEKDAY($B$29)+1+28,"")</f>
        <v>46383</v>
      </c>
      <c r="C35" s="76">
        <f>IF(MONTH($B$29-WEEKDAY($B$29)+1+29)=12,$B$29-WEEKDAY($B$29)+1+29,"")</f>
        <v>46384</v>
      </c>
      <c r="D35" s="76">
        <f>IF(MONTH($B$29-WEEKDAY($B$29)+1+30)=12,$B$29-WEEKDAY($B$29)+1+30,"")</f>
        <v>46385</v>
      </c>
      <c r="E35" s="76">
        <f>IF(MONTH($B$29-WEEKDAY($B$29)+1+31)=12,$B$29-WEEKDAY($B$29)+1+31,"")</f>
        <v>46386</v>
      </c>
      <c r="F35" s="76">
        <f>IF(MONTH($B$29-WEEKDAY($B$29)+1+32)=12,$B$29-WEEKDAY($B$29)+1+32,"")</f>
        <v>46387</v>
      </c>
      <c r="G35" s="76" t="str">
        <f>IF(MONTH($B$29-WEEKDAY($B$29)+1+33)=12,$B$29-WEEKDAY($B$29)+1+33,"")</f>
        <v/>
      </c>
      <c r="H35" s="77" t="str">
        <f>IF(MONTH($B$29-WEEKDAY($B$29)+1+34)=12,$B$29-WEEKDAY($B$29)+1+34,"")</f>
        <v/>
      </c>
    </row>
    <row r="36" spans="2:10" ht="18" customHeight="1">
      <c r="B36" s="75" t="str">
        <f>IF(MONTH($B$29-WEEKDAY($B$29)+1+35)=12,$B$29-WEEKDAY($B$29)+1+35,"")</f>
        <v/>
      </c>
      <c r="C36" s="76" t="str">
        <f>IF(MONTH($B$29-WEEKDAY($B$29)+1+36)=12,$B$29-WEEKDAY($B$29)+1+36,"")</f>
        <v/>
      </c>
      <c r="D36" s="76" t="str">
        <f>IF(MONTH($B$29-WEEKDAY($B$29)+1+37)=12,$B$29-WEEKDAY($B$29)+1+37,"")</f>
        <v/>
      </c>
      <c r="E36" s="76" t="str">
        <f>IF(MONTH($B$29-WEEKDAY($B$29)+1+38)=12,$B$29-WEEKDAY($B$29)+1+38,"")</f>
        <v/>
      </c>
      <c r="F36" s="76" t="str">
        <f>IF(MONTH($B$29-WEEKDAY($B$29)+1+39)=12,$B$29-WEEKDAY($B$29)+1+39,"")</f>
        <v/>
      </c>
      <c r="G36" s="76" t="str">
        <f>IF(MONTH($B$29-WEEKDAY($B$29)+1+40)=12,$B$29-WEEKDAY($B$29)+1+40,"")</f>
        <v/>
      </c>
      <c r="H36" s="77" t="str">
        <f>IF(MONTH($B$29-WEEKDAY($B$29)+1+41)=12,$B$29-WEEKDAY($B$29)+1+41,"")</f>
        <v/>
      </c>
    </row>
    <row r="37" spans="2:10" ht="18" customHeight="1"/>
    <row r="38" spans="2:10" ht="18" customHeight="1"/>
  </sheetData>
  <mergeCells count="4">
    <mergeCell ref="B2:H2"/>
    <mergeCell ref="B11:H11"/>
    <mergeCell ref="B20:H20"/>
    <mergeCell ref="B29:H29"/>
  </mergeCells>
  <phoneticPr fontId="4"/>
  <conditionalFormatting sqref="B4:H9 B13:H18 B22:H27 B31:H36">
    <cfRule type="expression" dxfId="8" priority="4" stopIfTrue="1">
      <formula>AND(ISNUMBER(B4),B4=TODAY())</formula>
    </cfRule>
    <cfRule type="expression" dxfId="7" priority="5" stopIfTrue="1">
      <formula>AND(ISNUMBER(B4),B4&gt;=$K$4,B4&lt;=$L$4)</formula>
    </cfRule>
    <cfRule type="expression" dxfId="6" priority="6" stopIfTrue="1">
      <formula>AND(ISNUMBER(B4),B4&gt;=$K$5,B4&lt;=$L$5)</formula>
    </cfRule>
    <cfRule type="expression" dxfId="5" priority="7" stopIfTrue="1">
      <formula>AND(ISNUMBER(B4),B4&gt;=$K$6,B4&lt;=$L$6)</formula>
    </cfRule>
    <cfRule type="expression" dxfId="4" priority="8" stopIfTrue="1">
      <formula>AND(ISNUMBER(B4),B4&gt;=$K$7,B4&lt;=$L$7)</formula>
    </cfRule>
    <cfRule type="expression" dxfId="3" priority="9" stopIfTrue="1">
      <formula>AND(ISNUMBER(B4),B4&gt;=$K$8,B4&lt;=$L$8)</formula>
    </cfRule>
  </conditionalFormatting>
  <conditionalFormatting sqref="K25">
    <cfRule type="expression" dxfId="2" priority="1" stopIfTrue="1">
      <formula>$K$25="間に合うペース"</formula>
    </cfRule>
    <cfRule type="expression" dxfId="1" priority="2" stopIfTrue="1">
      <formula>$K$25="作業時間が足りない"</formula>
    </cfRule>
  </conditionalFormatting>
  <conditionalFormatting sqref="Q4:Q8">
    <cfRule type="expression" dxfId="0" priority="3" stopIfTrue="1">
      <formula>OR(Q4="期限切れ",AND(ISNUMBER(Q4),Q4&gt;$K$24))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2E280-493A-4D6A-BD6D-D88C7F0333C1}">
  <dimension ref="B3:F40"/>
  <sheetViews>
    <sheetView showGridLines="0" workbookViewId="0"/>
  </sheetViews>
  <sheetFormatPr defaultRowHeight="18.75"/>
  <cols>
    <col min="1" max="1" width="2.625" customWidth="1"/>
    <col min="2" max="2" width="70.625" customWidth="1"/>
    <col min="3" max="3" width="8.625" customWidth="1"/>
    <col min="4" max="4" width="12.625" customWidth="1"/>
    <col min="5" max="5" width="10.625" customWidth="1"/>
    <col min="6" max="6" width="40.625" customWidth="1"/>
  </cols>
  <sheetData>
    <row r="3" spans="2:6">
      <c r="B3" s="79" t="s">
        <v>194</v>
      </c>
      <c r="C3" s="79" t="s">
        <v>3</v>
      </c>
      <c r="D3" s="79" t="s">
        <v>7</v>
      </c>
      <c r="E3" s="79" t="s">
        <v>0</v>
      </c>
      <c r="F3" s="79" t="s">
        <v>195</v>
      </c>
    </row>
    <row r="4" spans="2:6">
      <c r="B4" s="25"/>
      <c r="C4" s="25"/>
      <c r="D4" s="25"/>
      <c r="E4" s="25"/>
      <c r="F4" s="25"/>
    </row>
    <row r="5" spans="2:6">
      <c r="B5" s="25"/>
      <c r="C5" s="25"/>
      <c r="D5" s="25"/>
      <c r="E5" s="25"/>
      <c r="F5" s="25"/>
    </row>
    <row r="6" spans="2:6">
      <c r="B6" s="25"/>
      <c r="C6" s="25"/>
      <c r="D6" s="25"/>
      <c r="E6" s="25"/>
      <c r="F6" s="25"/>
    </row>
    <row r="7" spans="2:6">
      <c r="B7" s="25"/>
      <c r="C7" s="25"/>
      <c r="D7" s="25"/>
      <c r="E7" s="25"/>
      <c r="F7" s="25"/>
    </row>
    <row r="8" spans="2:6">
      <c r="B8" s="25"/>
      <c r="C8" s="25"/>
      <c r="D8" s="25"/>
      <c r="E8" s="25"/>
      <c r="F8" s="25"/>
    </row>
    <row r="9" spans="2:6">
      <c r="B9" s="25"/>
      <c r="C9" s="25"/>
      <c r="D9" s="25"/>
      <c r="E9" s="25"/>
      <c r="F9" s="25"/>
    </row>
    <row r="10" spans="2:6">
      <c r="B10" s="25"/>
      <c r="C10" s="25"/>
      <c r="D10" s="25"/>
      <c r="E10" s="25"/>
      <c r="F10" s="25"/>
    </row>
    <row r="11" spans="2:6">
      <c r="B11" s="25"/>
      <c r="C11" s="25"/>
      <c r="D11" s="25"/>
      <c r="E11" s="25"/>
      <c r="F11" s="25"/>
    </row>
    <row r="12" spans="2:6">
      <c r="B12" s="25"/>
      <c r="C12" s="25"/>
      <c r="D12" s="25"/>
      <c r="E12" s="25"/>
      <c r="F12" s="25"/>
    </row>
    <row r="13" spans="2:6">
      <c r="B13" s="25"/>
      <c r="C13" s="25"/>
      <c r="D13" s="25"/>
      <c r="E13" s="25"/>
      <c r="F13" s="25"/>
    </row>
    <row r="14" spans="2:6">
      <c r="B14" s="25"/>
      <c r="C14" s="25"/>
      <c r="D14" s="25"/>
      <c r="E14" s="25"/>
      <c r="F14" s="25"/>
    </row>
    <row r="15" spans="2:6">
      <c r="B15" s="25"/>
      <c r="C15" s="25"/>
      <c r="D15" s="25"/>
      <c r="E15" s="25"/>
      <c r="F15" s="25"/>
    </row>
    <row r="16" spans="2:6">
      <c r="B16" s="25"/>
      <c r="C16" s="25"/>
      <c r="D16" s="25"/>
      <c r="E16" s="25"/>
      <c r="F16" s="25"/>
    </row>
    <row r="17" spans="2:6">
      <c r="B17" s="25"/>
      <c r="C17" s="25"/>
      <c r="D17" s="25"/>
      <c r="E17" s="25"/>
      <c r="F17" s="25"/>
    </row>
    <row r="18" spans="2:6">
      <c r="B18" s="25"/>
      <c r="C18" s="25"/>
      <c r="D18" s="25"/>
      <c r="E18" s="25"/>
      <c r="F18" s="25"/>
    </row>
    <row r="19" spans="2:6">
      <c r="B19" s="25"/>
      <c r="C19" s="25"/>
      <c r="D19" s="25"/>
      <c r="E19" s="25"/>
      <c r="F19" s="25"/>
    </row>
    <row r="20" spans="2:6">
      <c r="B20" s="25"/>
      <c r="C20" s="25"/>
      <c r="D20" s="25"/>
      <c r="E20" s="25"/>
      <c r="F20" s="25"/>
    </row>
    <row r="21" spans="2:6">
      <c r="B21" s="25"/>
      <c r="C21" s="25"/>
      <c r="D21" s="25"/>
      <c r="E21" s="25"/>
      <c r="F21" s="25"/>
    </row>
    <row r="22" spans="2:6">
      <c r="B22" s="25"/>
      <c r="C22" s="25"/>
      <c r="D22" s="25"/>
      <c r="E22" s="25"/>
      <c r="F22" s="25"/>
    </row>
    <row r="25" spans="2:6">
      <c r="B25" s="79" t="s">
        <v>196</v>
      </c>
      <c r="C25" s="79" t="s">
        <v>3</v>
      </c>
      <c r="D25" s="79" t="s">
        <v>7</v>
      </c>
    </row>
    <row r="26" spans="2:6">
      <c r="B26" s="25"/>
      <c r="C26" s="25"/>
      <c r="D26" s="25"/>
    </row>
    <row r="27" spans="2:6">
      <c r="B27" s="25"/>
      <c r="C27" s="25"/>
      <c r="D27" s="25"/>
    </row>
    <row r="28" spans="2:6">
      <c r="B28" s="25"/>
      <c r="C28" s="25"/>
      <c r="D28" s="25"/>
    </row>
    <row r="29" spans="2:6">
      <c r="B29" s="25"/>
      <c r="C29" s="25"/>
      <c r="D29" s="25"/>
    </row>
    <row r="30" spans="2:6">
      <c r="B30" s="25"/>
      <c r="C30" s="25"/>
      <c r="D30" s="25"/>
    </row>
    <row r="31" spans="2:6">
      <c r="B31" s="25"/>
      <c r="C31" s="25"/>
      <c r="D31" s="25"/>
    </row>
    <row r="32" spans="2:6">
      <c r="B32" s="25"/>
      <c r="C32" s="25"/>
      <c r="D32" s="25"/>
    </row>
    <row r="33" spans="2:4">
      <c r="B33" s="25"/>
      <c r="C33" s="25"/>
      <c r="D33" s="25"/>
    </row>
    <row r="34" spans="2:4">
      <c r="B34" s="25"/>
      <c r="C34" s="25"/>
      <c r="D34" s="25"/>
    </row>
    <row r="35" spans="2:4">
      <c r="B35" s="25"/>
      <c r="C35" s="25"/>
      <c r="D35" s="25"/>
    </row>
    <row r="36" spans="2:4">
      <c r="B36" s="25"/>
      <c r="C36" s="25"/>
      <c r="D36" s="25"/>
    </row>
    <row r="37" spans="2:4">
      <c r="B37" s="25"/>
      <c r="C37" s="25"/>
      <c r="D37" s="25"/>
    </row>
    <row r="38" spans="2:4">
      <c r="B38" s="25"/>
      <c r="C38" s="25"/>
      <c r="D38" s="25"/>
    </row>
    <row r="39" spans="2:4">
      <c r="B39" s="25"/>
      <c r="C39" s="25"/>
      <c r="D39" s="25"/>
    </row>
    <row r="40" spans="2:4">
      <c r="B40" s="25"/>
      <c r="C40" s="25"/>
      <c r="D40" s="25"/>
    </row>
  </sheetData>
  <phoneticPr fontId="4"/>
  <dataValidations count="2">
    <dataValidation type="list" allowBlank="1" showInputMessage="1" showErrorMessage="1" sqref="C4:C22 C26:C40" xr:uid="{94886EFA-B286-429B-82CE-D058FD9461B8}">
      <formula1>"S,A,B,C"</formula1>
    </dataValidation>
    <dataValidation type="list" allowBlank="1" showInputMessage="1" showErrorMessage="1" sqref="D4:D22 D26:D40" xr:uid="{67F6CF25-C577-4418-918C-A708DA8FF48D}">
      <formula1>"未着手,作業中,完了,保留"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1DE6F-5930-4295-BC97-4F0089DE070A}">
  <dimension ref="B2"/>
  <sheetViews>
    <sheetView showGridLines="0" workbookViewId="0"/>
  </sheetViews>
  <sheetFormatPr defaultRowHeight="18.75"/>
  <cols>
    <col min="1" max="1" width="2.625" customWidth="1"/>
    <col min="2" max="2" width="120.625" customWidth="1"/>
  </cols>
  <sheetData>
    <row r="2" spans="2:2">
      <c r="B2" s="78" t="s">
        <v>195</v>
      </c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コスト表</vt:lpstr>
      <vt:lpstr>スケジュール</vt:lpstr>
      <vt:lpstr>問題・要望</vt:lpstr>
      <vt:lpstr>メモ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川浪　珀虎</dc:creator>
  <cp:lastModifiedBy>川浪　珀虎</cp:lastModifiedBy>
  <dcterms:created xsi:type="dcterms:W3CDTF">2026-10-14T02:48:30Z</dcterms:created>
  <dcterms:modified xsi:type="dcterms:W3CDTF">2026-10-28T04:53:59Z</dcterms:modified>
</cp:coreProperties>
</file>